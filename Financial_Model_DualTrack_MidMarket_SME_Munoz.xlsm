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pr-my.sharepoint.com/personal/samueleduardo_munoz_studenti_unipr_it/Documents/Excel/OPEM/"/>
    </mc:Choice>
  </mc:AlternateContent>
  <xr:revisionPtr revIDLastSave="29" documentId="13_ncr:1_{37D6F575-4376-4557-B051-228FD8EDCD51}" xr6:coauthVersionLast="47" xr6:coauthVersionMax="47" xr10:uidLastSave="{A637B604-F5B4-4F9A-999D-82B6A0122E04}"/>
  <bookViews>
    <workbookView xWindow="-120" yWindow="-120" windowWidth="38640" windowHeight="21120" xr2:uid="{00000000-000D-0000-FFFF-FFFF00000000}"/>
  </bookViews>
  <sheets>
    <sheet name="Assumptions" sheetId="1" r:id="rId1"/>
    <sheet name="Income Statement" sheetId="2" r:id="rId2"/>
    <sheet name="Balance Sheet" sheetId="3" r:id="rId3"/>
    <sheet name="Cash Flow Statement" sheetId="4" r:id="rId4"/>
    <sheet name="PP&amp;E Schedule" sheetId="5" r:id="rId5"/>
    <sheet name="Debt Schedule" sheetId="6" r:id="rId6"/>
    <sheet name="DCF" sheetId="7" state="hidden" r:id="rId7"/>
    <sheet name="LBO Model" sheetId="8" state="hidden" r:id="rId8"/>
    <sheet name="FCFE Valuation" sheetId="9" state="hidden" r:id="rId9"/>
    <sheet name="Prospective Analysis" sheetId="13" state="hidden" r:id="rId10"/>
    <sheet name="PE Returns Analysis" sheetId="10" state="hidden" r:id="rId11"/>
    <sheet name="WACC Calculation" sheetId="11" state="hidden" r:id="rId12"/>
  </sheets>
  <definedNames>
    <definedName name="_xleta.SUM" hidden="1" xlm="1">#NAME?</definedName>
  </definedNames>
  <calcPr calcId="191028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8" l="1"/>
  <c r="D12" i="8"/>
  <c r="E23" i="13"/>
  <c r="F23" i="13"/>
  <c r="G23" i="13"/>
  <c r="H23" i="13"/>
  <c r="I23" i="13"/>
  <c r="J23" i="13"/>
  <c r="K23" i="13"/>
  <c r="L23" i="13"/>
  <c r="M23" i="13"/>
  <c r="N23" i="13"/>
  <c r="D23" i="13"/>
  <c r="Q28" i="2"/>
  <c r="P28" i="2"/>
  <c r="O28" i="2"/>
  <c r="N28" i="2"/>
  <c r="M28" i="2"/>
  <c r="L28" i="2"/>
  <c r="K28" i="2"/>
  <c r="J28" i="2"/>
  <c r="I28" i="2"/>
  <c r="H28" i="2"/>
  <c r="H34" i="2" s="1"/>
  <c r="P34" i="2"/>
  <c r="P35" i="2" s="1"/>
  <c r="Q34" i="2"/>
  <c r="G28" i="2"/>
  <c r="D18" i="6"/>
  <c r="E18" i="6"/>
  <c r="F18" i="6"/>
  <c r="G18" i="6"/>
  <c r="H18" i="6"/>
  <c r="I18" i="6"/>
  <c r="J18" i="6"/>
  <c r="K18" i="6"/>
  <c r="L18" i="6"/>
  <c r="M18" i="6"/>
  <c r="C18" i="6"/>
  <c r="C19" i="6"/>
  <c r="E21" i="13"/>
  <c r="F21" i="13"/>
  <c r="G21" i="13"/>
  <c r="H21" i="13"/>
  <c r="I21" i="13"/>
  <c r="J21" i="13"/>
  <c r="K21" i="13"/>
  <c r="L21" i="13"/>
  <c r="M21" i="13"/>
  <c r="N21" i="13"/>
  <c r="D21" i="13"/>
  <c r="E17" i="13"/>
  <c r="F17" i="13"/>
  <c r="G17" i="13"/>
  <c r="H17" i="13"/>
  <c r="I17" i="13"/>
  <c r="J17" i="13"/>
  <c r="K17" i="13"/>
  <c r="L17" i="13"/>
  <c r="M17" i="13"/>
  <c r="N17" i="13"/>
  <c r="D17" i="13"/>
  <c r="C17" i="13"/>
  <c r="I16" i="3"/>
  <c r="J16" i="3"/>
  <c r="K16" i="3"/>
  <c r="L16" i="3"/>
  <c r="M16" i="3"/>
  <c r="N16" i="3"/>
  <c r="O16" i="3"/>
  <c r="P16" i="3"/>
  <c r="Q16" i="3"/>
  <c r="Q14" i="3" s="1"/>
  <c r="R16" i="3"/>
  <c r="H16" i="3"/>
  <c r="F48" i="3"/>
  <c r="E9" i="13"/>
  <c r="F9" i="13"/>
  <c r="G9" i="13"/>
  <c r="H9" i="13"/>
  <c r="I9" i="13"/>
  <c r="J9" i="13"/>
  <c r="K9" i="13"/>
  <c r="L9" i="13"/>
  <c r="M9" i="13"/>
  <c r="N9" i="13"/>
  <c r="D9" i="13"/>
  <c r="N7" i="13"/>
  <c r="M7" i="13"/>
  <c r="L7" i="13"/>
  <c r="K7" i="13"/>
  <c r="J7" i="13"/>
  <c r="I7" i="13"/>
  <c r="H7" i="13"/>
  <c r="G7" i="13"/>
  <c r="F7" i="13"/>
  <c r="E7" i="13"/>
  <c r="D7" i="13"/>
  <c r="C7" i="13"/>
  <c r="E4" i="13"/>
  <c r="F4" i="13" s="1"/>
  <c r="G4" i="13" s="1"/>
  <c r="D88" i="2"/>
  <c r="C88" i="2"/>
  <c r="C91" i="2"/>
  <c r="C89" i="2"/>
  <c r="D89" i="2"/>
  <c r="C90" i="2"/>
  <c r="D4" i="8"/>
  <c r="D10" i="8" s="1"/>
  <c r="I17" i="4"/>
  <c r="J17" i="4"/>
  <c r="K17" i="4"/>
  <c r="L17" i="4"/>
  <c r="M17" i="4"/>
  <c r="N17" i="4"/>
  <c r="O17" i="4"/>
  <c r="P17" i="4"/>
  <c r="Q17" i="4"/>
  <c r="H17" i="4"/>
  <c r="G17" i="4"/>
  <c r="E17" i="4"/>
  <c r="F17" i="4"/>
  <c r="D17" i="4"/>
  <c r="G9" i="3"/>
  <c r="F9" i="3"/>
  <c r="G22" i="3"/>
  <c r="G36" i="3"/>
  <c r="K54" i="8"/>
  <c r="L54" i="8"/>
  <c r="C33" i="3"/>
  <c r="C17" i="6"/>
  <c r="H22" i="3"/>
  <c r="J49" i="3"/>
  <c r="K49" i="3"/>
  <c r="L49" i="3"/>
  <c r="M49" i="3"/>
  <c r="N49" i="3"/>
  <c r="O49" i="3"/>
  <c r="P49" i="3"/>
  <c r="Q49" i="3"/>
  <c r="R49" i="3"/>
  <c r="I49" i="3"/>
  <c r="D49" i="3"/>
  <c r="E49" i="3"/>
  <c r="F49" i="3"/>
  <c r="C49" i="3"/>
  <c r="C46" i="3"/>
  <c r="C48" i="3"/>
  <c r="E8" i="4"/>
  <c r="F8" i="4"/>
  <c r="D8" i="4"/>
  <c r="E9" i="4"/>
  <c r="F9" i="4"/>
  <c r="E23" i="4"/>
  <c r="F23" i="4"/>
  <c r="D9" i="4"/>
  <c r="I22" i="3"/>
  <c r="J22" i="3"/>
  <c r="K22" i="3"/>
  <c r="L22" i="3"/>
  <c r="M22" i="3"/>
  <c r="N22" i="3"/>
  <c r="O22" i="3"/>
  <c r="P22" i="3"/>
  <c r="Q22" i="3"/>
  <c r="R22" i="3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D25" i="4"/>
  <c r="D23" i="4"/>
  <c r="E16" i="4"/>
  <c r="F16" i="4"/>
  <c r="D16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B66" i="1"/>
  <c r="E24" i="4"/>
  <c r="E26" i="4"/>
  <c r="F24" i="4"/>
  <c r="F26" i="4"/>
  <c r="D24" i="4"/>
  <c r="D33" i="4"/>
  <c r="H50" i="2"/>
  <c r="I50" i="2"/>
  <c r="J50" i="2"/>
  <c r="K50" i="2"/>
  <c r="L50" i="2"/>
  <c r="M50" i="2"/>
  <c r="N50" i="2"/>
  <c r="O50" i="2"/>
  <c r="P50" i="2"/>
  <c r="Q50" i="2"/>
  <c r="G40" i="2"/>
  <c r="H40" i="2"/>
  <c r="I40" i="2"/>
  <c r="J40" i="2"/>
  <c r="K40" i="2"/>
  <c r="L40" i="2"/>
  <c r="M40" i="2"/>
  <c r="N40" i="2"/>
  <c r="O40" i="2"/>
  <c r="P40" i="2"/>
  <c r="Q40" i="2"/>
  <c r="D48" i="3"/>
  <c r="E48" i="3"/>
  <c r="C83" i="2"/>
  <c r="C4" i="4"/>
  <c r="F8" i="5"/>
  <c r="F15" i="3"/>
  <c r="E15" i="3"/>
  <c r="D15" i="3"/>
  <c r="F31" i="3"/>
  <c r="E31" i="3"/>
  <c r="D9" i="3"/>
  <c r="D8" i="3"/>
  <c r="E9" i="3"/>
  <c r="E8" i="3"/>
  <c r="C14" i="3"/>
  <c r="E55" i="2"/>
  <c r="D55" i="2"/>
  <c r="C55" i="2"/>
  <c r="F55" i="2"/>
  <c r="D48" i="2"/>
  <c r="D7" i="4"/>
  <c r="C48" i="2"/>
  <c r="F5" i="6"/>
  <c r="C8" i="6"/>
  <c r="F8" i="3"/>
  <c r="G8" i="3"/>
  <c r="C7" i="6"/>
  <c r="C54" i="3"/>
  <c r="C81" i="2"/>
  <c r="C82" i="2"/>
  <c r="C56" i="3"/>
  <c r="F14" i="3"/>
  <c r="F46" i="3"/>
  <c r="F83" i="2"/>
  <c r="D46" i="3"/>
  <c r="D83" i="2"/>
  <c r="E14" i="3"/>
  <c r="E24" i="3"/>
  <c r="E46" i="3"/>
  <c r="E83" i="2"/>
  <c r="D14" i="3"/>
  <c r="D24" i="3"/>
  <c r="C37" i="2"/>
  <c r="C6" i="5"/>
  <c r="C42" i="2"/>
  <c r="F37" i="2"/>
  <c r="E8" i="5"/>
  <c r="E37" i="2"/>
  <c r="D8" i="5"/>
  <c r="D37" i="2"/>
  <c r="D7" i="2"/>
  <c r="E7" i="2"/>
  <c r="F7" i="2"/>
  <c r="F14" i="2"/>
  <c r="C7" i="2"/>
  <c r="C16" i="2"/>
  <c r="C47" i="3"/>
  <c r="D16" i="2"/>
  <c r="D47" i="3"/>
  <c r="E16" i="2"/>
  <c r="E47" i="3"/>
  <c r="F16" i="2"/>
  <c r="F47" i="3"/>
  <c r="F24" i="3"/>
  <c r="G14" i="3"/>
  <c r="D38" i="2"/>
  <c r="E38" i="2"/>
  <c r="E8" i="2"/>
  <c r="C43" i="2"/>
  <c r="F38" i="2"/>
  <c r="C25" i="2"/>
  <c r="C26" i="2"/>
  <c r="D25" i="2"/>
  <c r="D26" i="2"/>
  <c r="C14" i="2"/>
  <c r="F25" i="2"/>
  <c r="F26" i="2"/>
  <c r="E14" i="2"/>
  <c r="D14" i="2"/>
  <c r="F8" i="2"/>
  <c r="E25" i="2"/>
  <c r="E26" i="2"/>
  <c r="D8" i="2"/>
  <c r="E14" i="4"/>
  <c r="F14" i="4"/>
  <c r="D14" i="4"/>
  <c r="C34" i="2"/>
  <c r="C61" i="2"/>
  <c r="C35" i="2"/>
  <c r="C45" i="2"/>
  <c r="C5" i="11"/>
  <c r="J43" i="10"/>
  <c r="K43" i="10"/>
  <c r="L43" i="10"/>
  <c r="M43" i="10"/>
  <c r="G43" i="10"/>
  <c r="H43" i="10"/>
  <c r="F43" i="10"/>
  <c r="E43" i="10"/>
  <c r="D43" i="10"/>
  <c r="N31" i="10"/>
  <c r="M31" i="10"/>
  <c r="L31" i="10"/>
  <c r="K31" i="10"/>
  <c r="J29" i="10"/>
  <c r="I29" i="10"/>
  <c r="I31" i="10" s="1"/>
  <c r="H29" i="10"/>
  <c r="H31" i="10" s="1"/>
  <c r="G29" i="10"/>
  <c r="G31" i="10" s="1"/>
  <c r="F29" i="10"/>
  <c r="F31" i="10" s="1"/>
  <c r="E29" i="10"/>
  <c r="E31" i="10" s="1"/>
  <c r="D29" i="10"/>
  <c r="D31" i="10" s="1"/>
  <c r="I20" i="10"/>
  <c r="H20" i="10"/>
  <c r="G20" i="10"/>
  <c r="F20" i="10"/>
  <c r="E20" i="10"/>
  <c r="D20" i="10"/>
  <c r="E14" i="10"/>
  <c r="F14" i="10"/>
  <c r="G14" i="10"/>
  <c r="H14" i="10"/>
  <c r="I14" i="10"/>
  <c r="J14" i="10"/>
  <c r="D14" i="10"/>
  <c r="A13" i="10"/>
  <c r="C5" i="10"/>
  <c r="C7" i="10" s="1"/>
  <c r="G28" i="9"/>
  <c r="G29" i="9"/>
  <c r="G26" i="9"/>
  <c r="G25" i="9"/>
  <c r="L24" i="9"/>
  <c r="K24" i="9"/>
  <c r="I24" i="9"/>
  <c r="H24" i="9"/>
  <c r="C15" i="9"/>
  <c r="C14" i="9"/>
  <c r="F10" i="9"/>
  <c r="D10" i="9"/>
  <c r="F5" i="9"/>
  <c r="G5" i="9"/>
  <c r="H5" i="9"/>
  <c r="I5" i="9"/>
  <c r="J5" i="9"/>
  <c r="K5" i="9"/>
  <c r="L5" i="9"/>
  <c r="E5" i="9"/>
  <c r="A4" i="9"/>
  <c r="L55" i="8"/>
  <c r="L20" i="8" s="1"/>
  <c r="K55" i="8"/>
  <c r="K20" i="8" s="1"/>
  <c r="J55" i="8"/>
  <c r="J20" i="8" s="1"/>
  <c r="G55" i="8"/>
  <c r="K28" i="4" s="1"/>
  <c r="K30" i="4" s="1"/>
  <c r="F55" i="8"/>
  <c r="J28" i="4" s="1"/>
  <c r="J30" i="4" s="1"/>
  <c r="E55" i="8"/>
  <c r="E20" i="8" s="1"/>
  <c r="D55" i="8"/>
  <c r="D20" i="8" s="1"/>
  <c r="H28" i="4"/>
  <c r="H30" i="4" s="1"/>
  <c r="C55" i="8"/>
  <c r="G28" i="4" s="1"/>
  <c r="G30" i="4" s="1"/>
  <c r="M52" i="8"/>
  <c r="L52" i="8"/>
  <c r="K52" i="8"/>
  <c r="J52" i="8"/>
  <c r="I52" i="8"/>
  <c r="H52" i="8"/>
  <c r="G52" i="8"/>
  <c r="F52" i="8"/>
  <c r="E52" i="8"/>
  <c r="D52" i="8"/>
  <c r="C52" i="8"/>
  <c r="C47" i="8"/>
  <c r="I49" i="8" s="1"/>
  <c r="J35" i="8"/>
  <c r="J54" i="8" s="1"/>
  <c r="M45" i="8"/>
  <c r="L45" i="8"/>
  <c r="L56" i="8" s="1"/>
  <c r="K45" i="8"/>
  <c r="J45" i="8"/>
  <c r="M41" i="8"/>
  <c r="L41" i="8"/>
  <c r="K41" i="8"/>
  <c r="J41" i="8"/>
  <c r="I41" i="8"/>
  <c r="H41" i="8"/>
  <c r="G41" i="8"/>
  <c r="F41" i="8"/>
  <c r="E41" i="8"/>
  <c r="D41" i="8"/>
  <c r="C41" i="8"/>
  <c r="C33" i="8"/>
  <c r="M31" i="8"/>
  <c r="L31" i="8"/>
  <c r="K31" i="8"/>
  <c r="J31" i="8"/>
  <c r="M27" i="8"/>
  <c r="L27" i="8"/>
  <c r="K27" i="8"/>
  <c r="J27" i="8"/>
  <c r="I27" i="8"/>
  <c r="H27" i="8"/>
  <c r="G27" i="8"/>
  <c r="F27" i="8"/>
  <c r="E27" i="8"/>
  <c r="D27" i="8"/>
  <c r="C27" i="8"/>
  <c r="M20" i="8"/>
  <c r="F20" i="8"/>
  <c r="M19" i="8"/>
  <c r="L14" i="8"/>
  <c r="K14" i="8"/>
  <c r="J14" i="8"/>
  <c r="I14" i="8"/>
  <c r="H14" i="8"/>
  <c r="G14" i="8"/>
  <c r="F14" i="8"/>
  <c r="E14" i="8"/>
  <c r="D14" i="8"/>
  <c r="C14" i="8"/>
  <c r="G41" i="7"/>
  <c r="G42" i="7" s="1"/>
  <c r="G39" i="7"/>
  <c r="G38" i="7" s="1"/>
  <c r="K37" i="7"/>
  <c r="L37" i="7" s="1"/>
  <c r="I37" i="7"/>
  <c r="H37" i="7" s="1"/>
  <c r="E5" i="7"/>
  <c r="F5" i="7" s="1"/>
  <c r="G5" i="7" s="1"/>
  <c r="H5" i="7" s="1"/>
  <c r="I5" i="7" s="1"/>
  <c r="J5" i="7" s="1"/>
  <c r="K5" i="7" s="1"/>
  <c r="L5" i="7" s="1"/>
  <c r="M5" i="7" s="1"/>
  <c r="N5" i="7" s="1"/>
  <c r="D5" i="6"/>
  <c r="D7" i="6"/>
  <c r="D28" i="4"/>
  <c r="Q28" i="4"/>
  <c r="Q30" i="4" s="1"/>
  <c r="P28" i="4"/>
  <c r="P30" i="4" s="1"/>
  <c r="F15" i="4"/>
  <c r="E15" i="4"/>
  <c r="D15" i="4"/>
  <c r="F13" i="4"/>
  <c r="E13" i="4"/>
  <c r="D13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I48" i="3"/>
  <c r="J48" i="3"/>
  <c r="K48" i="3"/>
  <c r="L48" i="3"/>
  <c r="M48" i="3"/>
  <c r="N48" i="3"/>
  <c r="O48" i="3"/>
  <c r="P48" i="3"/>
  <c r="Q48" i="3"/>
  <c r="R48" i="3"/>
  <c r="I47" i="3"/>
  <c r="I46" i="3"/>
  <c r="J46" i="3"/>
  <c r="K46" i="3"/>
  <c r="L46" i="3"/>
  <c r="M46" i="3"/>
  <c r="N46" i="3"/>
  <c r="O46" i="3"/>
  <c r="P46" i="3"/>
  <c r="Q46" i="3"/>
  <c r="R46" i="3"/>
  <c r="R44" i="3"/>
  <c r="Q44" i="3"/>
  <c r="P44" i="3"/>
  <c r="O44" i="3"/>
  <c r="N44" i="3"/>
  <c r="M44" i="3"/>
  <c r="L44" i="3"/>
  <c r="K44" i="3"/>
  <c r="J44" i="3"/>
  <c r="I44" i="3"/>
  <c r="H44" i="3"/>
  <c r="F44" i="3"/>
  <c r="E44" i="3"/>
  <c r="D44" i="3"/>
  <c r="C44" i="3"/>
  <c r="R4" i="3"/>
  <c r="N6" i="7"/>
  <c r="Q4" i="3"/>
  <c r="M6" i="7"/>
  <c r="P4" i="3"/>
  <c r="L6" i="9"/>
  <c r="O4" i="3"/>
  <c r="K6" i="9"/>
  <c r="N4" i="3"/>
  <c r="J6" i="9"/>
  <c r="M4" i="3"/>
  <c r="I15" i="10"/>
  <c r="L4" i="3"/>
  <c r="H25" i="10"/>
  <c r="K4" i="3"/>
  <c r="G6" i="7"/>
  <c r="J4" i="3"/>
  <c r="F15" i="10"/>
  <c r="I4" i="3"/>
  <c r="E25" i="10"/>
  <c r="H4" i="3"/>
  <c r="D25" i="10"/>
  <c r="F4" i="3"/>
  <c r="C6" i="7"/>
  <c r="E4" i="3"/>
  <c r="D4" i="3"/>
  <c r="C4" i="3"/>
  <c r="C62" i="2"/>
  <c r="C65" i="2"/>
  <c r="Q48" i="2"/>
  <c r="Q7" i="4" s="1"/>
  <c r="Q19" i="4" s="1"/>
  <c r="F32" i="2"/>
  <c r="E32" i="2"/>
  <c r="D32" i="2"/>
  <c r="C32" i="2"/>
  <c r="F29" i="2"/>
  <c r="E29" i="2"/>
  <c r="D29" i="2"/>
  <c r="C29" i="2"/>
  <c r="F17" i="2"/>
  <c r="E17" i="2"/>
  <c r="D17" i="2"/>
  <c r="C17" i="2"/>
  <c r="F11" i="2"/>
  <c r="E11" i="2"/>
  <c r="D11" i="2"/>
  <c r="B58" i="1"/>
  <c r="B50" i="1"/>
  <c r="B42" i="1"/>
  <c r="B34" i="1"/>
  <c r="B26" i="1"/>
  <c r="B18" i="1"/>
  <c r="B10" i="1"/>
  <c r="C4" i="1"/>
  <c r="P27" i="1"/>
  <c r="M5" i="9"/>
  <c r="L10" i="9"/>
  <c r="K10" i="9"/>
  <c r="I10" i="9"/>
  <c r="H10" i="9"/>
  <c r="G10" i="9"/>
  <c r="E10" i="9"/>
  <c r="J10" i="9"/>
  <c r="N5" i="9"/>
  <c r="N10" i="9"/>
  <c r="M10" i="9"/>
  <c r="N51" i="1"/>
  <c r="M32" i="2"/>
  <c r="F12" i="4"/>
  <c r="I28" i="4"/>
  <c r="N19" i="1"/>
  <c r="M11" i="1"/>
  <c r="N11" i="1"/>
  <c r="P51" i="1"/>
  <c r="O32" i="2"/>
  <c r="E12" i="4"/>
  <c r="D12" i="4"/>
  <c r="N59" i="1"/>
  <c r="M43" i="2"/>
  <c r="I43" i="1"/>
  <c r="H29" i="2"/>
  <c r="K11" i="1"/>
  <c r="P19" i="1"/>
  <c r="H51" i="1"/>
  <c r="G32" i="2"/>
  <c r="P59" i="1"/>
  <c r="O43" i="2"/>
  <c r="P43" i="1"/>
  <c r="O29" i="2"/>
  <c r="I67" i="1"/>
  <c r="H38" i="2"/>
  <c r="J67" i="1"/>
  <c r="I38" i="2"/>
  <c r="P67" i="1"/>
  <c r="O38" i="2"/>
  <c r="K67" i="1"/>
  <c r="J38" i="2"/>
  <c r="H67" i="1"/>
  <c r="G38" i="2"/>
  <c r="G37" i="2"/>
  <c r="L67" i="1"/>
  <c r="K38" i="2"/>
  <c r="Q67" i="1"/>
  <c r="P38" i="2"/>
  <c r="R67" i="1"/>
  <c r="Q38" i="2"/>
  <c r="M67" i="1"/>
  <c r="L38" i="2"/>
  <c r="N67" i="1"/>
  <c r="M38" i="2"/>
  <c r="O67" i="1"/>
  <c r="N38" i="2"/>
  <c r="Q43" i="1"/>
  <c r="P29" i="2"/>
  <c r="H27" i="1"/>
  <c r="K51" i="1"/>
  <c r="J32" i="2"/>
  <c r="K19" i="1"/>
  <c r="R51" i="1"/>
  <c r="Q32" i="2"/>
  <c r="N27" i="1"/>
  <c r="R43" i="1"/>
  <c r="Q29" i="2"/>
  <c r="H35" i="1"/>
  <c r="G17" i="2"/>
  <c r="M59" i="1"/>
  <c r="L43" i="2"/>
  <c r="M51" i="1"/>
  <c r="L32" i="2"/>
  <c r="I19" i="1"/>
  <c r="K27" i="1"/>
  <c r="K59" i="1"/>
  <c r="J43" i="2"/>
  <c r="R11" i="1"/>
  <c r="I27" i="1"/>
  <c r="J59" i="1"/>
  <c r="I43" i="2"/>
  <c r="Q11" i="1"/>
  <c r="O59" i="1"/>
  <c r="N43" i="2"/>
  <c r="I51" i="1"/>
  <c r="H32" i="2"/>
  <c r="J51" i="1"/>
  <c r="I32" i="2"/>
  <c r="O11" i="1"/>
  <c r="R59" i="1"/>
  <c r="Q43" i="2"/>
  <c r="O35" i="1"/>
  <c r="N17" i="2"/>
  <c r="O51" i="1"/>
  <c r="N32" i="2"/>
  <c r="R35" i="1"/>
  <c r="Q17" i="2"/>
  <c r="N35" i="1"/>
  <c r="M17" i="2"/>
  <c r="O19" i="1"/>
  <c r="J43" i="1"/>
  <c r="I29" i="2"/>
  <c r="M19" i="1"/>
  <c r="L35" i="1"/>
  <c r="K17" i="2"/>
  <c r="L43" i="1"/>
  <c r="K29" i="2"/>
  <c r="C52" i="2"/>
  <c r="C57" i="2"/>
  <c r="C60" i="2"/>
  <c r="C72" i="2"/>
  <c r="C58" i="2"/>
  <c r="C46" i="2"/>
  <c r="C53" i="2"/>
  <c r="E34" i="2"/>
  <c r="E91" i="2"/>
  <c r="K15" i="10"/>
  <c r="G25" i="10"/>
  <c r="G15" i="10"/>
  <c r="G14" i="2"/>
  <c r="G6" i="9"/>
  <c r="F25" i="10"/>
  <c r="N25" i="10"/>
  <c r="N6" i="9"/>
  <c r="Q35" i="1"/>
  <c r="P17" i="2"/>
  <c r="Q51" i="1"/>
  <c r="P32" i="2"/>
  <c r="L11" i="1"/>
  <c r="L59" i="1"/>
  <c r="K43" i="2"/>
  <c r="K35" i="1"/>
  <c r="J17" i="2"/>
  <c r="Q59" i="1"/>
  <c r="P43" i="2"/>
  <c r="H11" i="1"/>
  <c r="R27" i="1"/>
  <c r="L19" i="1"/>
  <c r="L51" i="1"/>
  <c r="K32" i="2"/>
  <c r="J27" i="1"/>
  <c r="H59" i="1"/>
  <c r="G43" i="2"/>
  <c r="J11" i="1"/>
  <c r="R19" i="1"/>
  <c r="H43" i="1"/>
  <c r="G29" i="2"/>
  <c r="J19" i="1"/>
  <c r="Q27" i="1"/>
  <c r="L27" i="1"/>
  <c r="Q19" i="1"/>
  <c r="M27" i="1"/>
  <c r="P35" i="1"/>
  <c r="O17" i="2"/>
  <c r="I35" i="1"/>
  <c r="H17" i="2"/>
  <c r="P11" i="1"/>
  <c r="J35" i="1"/>
  <c r="I17" i="2"/>
  <c r="K43" i="1"/>
  <c r="J29" i="2"/>
  <c r="I59" i="1"/>
  <c r="H43" i="2"/>
  <c r="M35" i="1"/>
  <c r="L17" i="2"/>
  <c r="I11" i="1"/>
  <c r="O43" i="1"/>
  <c r="N29" i="2"/>
  <c r="N43" i="1"/>
  <c r="M29" i="2"/>
  <c r="O27" i="1"/>
  <c r="M43" i="1"/>
  <c r="L29" i="2"/>
  <c r="H19" i="1"/>
  <c r="D19" i="4"/>
  <c r="E48" i="2"/>
  <c r="E7" i="4"/>
  <c r="N15" i="10"/>
  <c r="F34" i="2"/>
  <c r="F91" i="2"/>
  <c r="D6" i="7"/>
  <c r="D6" i="9"/>
  <c r="J47" i="3"/>
  <c r="D15" i="10"/>
  <c r="H6" i="7"/>
  <c r="H6" i="9"/>
  <c r="J25" i="10"/>
  <c r="E6" i="9"/>
  <c r="F6" i="9"/>
  <c r="M25" i="10"/>
  <c r="L6" i="7"/>
  <c r="L25" i="10"/>
  <c r="L15" i="10"/>
  <c r="H15" i="10"/>
  <c r="K25" i="10"/>
  <c r="D5" i="5"/>
  <c r="C9" i="3"/>
  <c r="C6" i="9"/>
  <c r="M14" i="8"/>
  <c r="C25" i="10"/>
  <c r="C15" i="10"/>
  <c r="M6" i="9"/>
  <c r="I6" i="7"/>
  <c r="I6" i="9"/>
  <c r="E15" i="10"/>
  <c r="F6" i="7"/>
  <c r="M15" i="10"/>
  <c r="E6" i="7"/>
  <c r="K6" i="7"/>
  <c r="J15" i="10"/>
  <c r="J6" i="7"/>
  <c r="I25" i="10"/>
  <c r="G9" i="4"/>
  <c r="D10" i="7"/>
  <c r="H37" i="2"/>
  <c r="G10" i="2"/>
  <c r="E35" i="2"/>
  <c r="E19" i="4"/>
  <c r="H14" i="2"/>
  <c r="C30" i="3"/>
  <c r="C28" i="3"/>
  <c r="C8" i="3"/>
  <c r="F45" i="2"/>
  <c r="F46" i="2"/>
  <c r="F61" i="2"/>
  <c r="E45" i="2"/>
  <c r="E46" i="2"/>
  <c r="E61" i="2"/>
  <c r="F35" i="2"/>
  <c r="D34" i="2"/>
  <c r="D91" i="2"/>
  <c r="F48" i="2"/>
  <c r="F7" i="4"/>
  <c r="K47" i="3"/>
  <c r="E10" i="7"/>
  <c r="H9" i="4"/>
  <c r="G16" i="2"/>
  <c r="H18" i="3"/>
  <c r="G16" i="4"/>
  <c r="I37" i="2"/>
  <c r="C40" i="3"/>
  <c r="G13" i="2"/>
  <c r="H15" i="3"/>
  <c r="G13" i="4"/>
  <c r="H10" i="2"/>
  <c r="F19" i="4"/>
  <c r="I14" i="2"/>
  <c r="E52" i="2"/>
  <c r="E53" i="2"/>
  <c r="E60" i="2"/>
  <c r="E89" i="2"/>
  <c r="E72" i="2"/>
  <c r="C69" i="2"/>
  <c r="C55" i="3"/>
  <c r="C71" i="2"/>
  <c r="F60" i="2"/>
  <c r="F52" i="2"/>
  <c r="F89" i="2"/>
  <c r="F72" i="2"/>
  <c r="C24" i="3"/>
  <c r="C70" i="2"/>
  <c r="C100" i="2"/>
  <c r="D45" i="2"/>
  <c r="D61" i="2"/>
  <c r="F53" i="2"/>
  <c r="D46" i="2"/>
  <c r="D35" i="2"/>
  <c r="C63" i="2"/>
  <c r="C64" i="2"/>
  <c r="L47" i="3"/>
  <c r="F10" i="7"/>
  <c r="I9" i="4"/>
  <c r="C87" i="2"/>
  <c r="C95" i="2"/>
  <c r="H13" i="2"/>
  <c r="I18" i="3"/>
  <c r="H16" i="4"/>
  <c r="J37" i="2"/>
  <c r="I10" i="2"/>
  <c r="J18" i="3"/>
  <c r="I16" i="4"/>
  <c r="I15" i="3"/>
  <c r="H13" i="4"/>
  <c r="D52" i="2"/>
  <c r="D60" i="2"/>
  <c r="D72" i="2"/>
  <c r="J14" i="2"/>
  <c r="C76" i="2"/>
  <c r="C96" i="2"/>
  <c r="C77" i="2"/>
  <c r="M47" i="3"/>
  <c r="C41" i="3"/>
  <c r="I13" i="2"/>
  <c r="G10" i="7"/>
  <c r="J9" i="4"/>
  <c r="K37" i="2"/>
  <c r="J10" i="2"/>
  <c r="K18" i="3"/>
  <c r="J16" i="4"/>
  <c r="J15" i="3"/>
  <c r="I13" i="4"/>
  <c r="K14" i="2"/>
  <c r="D57" i="2"/>
  <c r="D53" i="2"/>
  <c r="F57" i="2"/>
  <c r="N47" i="3"/>
  <c r="E57" i="2"/>
  <c r="J13" i="2"/>
  <c r="K9" i="4"/>
  <c r="H10" i="7"/>
  <c r="L37" i="2"/>
  <c r="K10" i="2"/>
  <c r="L18" i="3"/>
  <c r="K16" i="4"/>
  <c r="K15" i="3"/>
  <c r="J13" i="4"/>
  <c r="F6" i="4"/>
  <c r="F20" i="4"/>
  <c r="F58" i="2"/>
  <c r="E58" i="2"/>
  <c r="E6" i="4"/>
  <c r="E20" i="4"/>
  <c r="E30" i="3"/>
  <c r="E28" i="3"/>
  <c r="F29" i="4"/>
  <c r="D58" i="2"/>
  <c r="D6" i="4"/>
  <c r="D20" i="4"/>
  <c r="D30" i="3"/>
  <c r="L14" i="2"/>
  <c r="F30" i="3"/>
  <c r="F28" i="3"/>
  <c r="O47" i="3"/>
  <c r="I10" i="7"/>
  <c r="L9" i="4"/>
  <c r="K13" i="2"/>
  <c r="M37" i="2"/>
  <c r="D28" i="3"/>
  <c r="E29" i="4"/>
  <c r="L10" i="2"/>
  <c r="M18" i="3"/>
  <c r="L16" i="4"/>
  <c r="L15" i="3"/>
  <c r="K13" i="4"/>
  <c r="M14" i="2"/>
  <c r="D55" i="3"/>
  <c r="D90" i="2"/>
  <c r="E55" i="3"/>
  <c r="E90" i="2"/>
  <c r="F55" i="3"/>
  <c r="F90" i="2"/>
  <c r="P47" i="3"/>
  <c r="C8" i="7"/>
  <c r="L13" i="2"/>
  <c r="J10" i="7"/>
  <c r="M9" i="4"/>
  <c r="D29" i="4"/>
  <c r="D30" i="4"/>
  <c r="N37" i="2"/>
  <c r="M10" i="2"/>
  <c r="M15" i="3"/>
  <c r="L13" i="4"/>
  <c r="N14" i="2"/>
  <c r="Q47" i="3"/>
  <c r="N9" i="4"/>
  <c r="K10" i="7"/>
  <c r="M13" i="2"/>
  <c r="N18" i="3"/>
  <c r="M16" i="4"/>
  <c r="O37" i="2"/>
  <c r="N10" i="2"/>
  <c r="N15" i="3"/>
  <c r="M13" i="4"/>
  <c r="O14" i="2"/>
  <c r="R47" i="3"/>
  <c r="O9" i="4"/>
  <c r="L10" i="7"/>
  <c r="P37" i="2"/>
  <c r="N13" i="2"/>
  <c r="O18" i="3"/>
  <c r="N16" i="4"/>
  <c r="O10" i="2"/>
  <c r="P18" i="3"/>
  <c r="O15" i="3"/>
  <c r="N13" i="4"/>
  <c r="P14" i="2"/>
  <c r="O16" i="4"/>
  <c r="M10" i="7"/>
  <c r="P9" i="4"/>
  <c r="O13" i="2"/>
  <c r="Q37" i="2"/>
  <c r="P10" i="2"/>
  <c r="P15" i="3"/>
  <c r="O13" i="4"/>
  <c r="Q14" i="2"/>
  <c r="N10" i="7"/>
  <c r="Q9" i="4"/>
  <c r="P13" i="2"/>
  <c r="Q18" i="3"/>
  <c r="P16" i="4"/>
  <c r="Q10" i="2"/>
  <c r="Q15" i="3"/>
  <c r="P13" i="4"/>
  <c r="R15" i="3"/>
  <c r="Q13" i="4"/>
  <c r="R18" i="3"/>
  <c r="Q16" i="4"/>
  <c r="Q13" i="2"/>
  <c r="G7" i="2"/>
  <c r="G8" i="2"/>
  <c r="G25" i="2"/>
  <c r="G26" i="2"/>
  <c r="G31" i="2"/>
  <c r="H17" i="3"/>
  <c r="G14" i="4"/>
  <c r="G11" i="2"/>
  <c r="G42" i="2"/>
  <c r="H7" i="2"/>
  <c r="H16" i="2"/>
  <c r="I17" i="3"/>
  <c r="H14" i="4"/>
  <c r="H11" i="2"/>
  <c r="H42" i="2"/>
  <c r="H31" i="2"/>
  <c r="G6" i="5"/>
  <c r="G22" i="4"/>
  <c r="G26" i="4"/>
  <c r="D16" i="7"/>
  <c r="H8" i="2"/>
  <c r="H25" i="2"/>
  <c r="H26" i="2"/>
  <c r="I7" i="2"/>
  <c r="H6" i="5"/>
  <c r="H22" i="4"/>
  <c r="H26" i="4"/>
  <c r="E16" i="7"/>
  <c r="I16" i="2"/>
  <c r="J17" i="3"/>
  <c r="I14" i="4"/>
  <c r="I42" i="2"/>
  <c r="I31" i="2"/>
  <c r="I11" i="2"/>
  <c r="I14" i="3"/>
  <c r="I8" i="2"/>
  <c r="I25" i="2"/>
  <c r="I26" i="2"/>
  <c r="J7" i="2"/>
  <c r="J11" i="2"/>
  <c r="J31" i="2"/>
  <c r="J16" i="2"/>
  <c r="K17" i="3"/>
  <c r="J14" i="4"/>
  <c r="J42" i="2"/>
  <c r="I6" i="5"/>
  <c r="I22" i="4"/>
  <c r="I26" i="4"/>
  <c r="F16" i="7"/>
  <c r="I15" i="4"/>
  <c r="I12" i="4"/>
  <c r="F11" i="13" s="1"/>
  <c r="F18" i="7"/>
  <c r="J14" i="3"/>
  <c r="I34" i="2"/>
  <c r="I35" i="2" s="1"/>
  <c r="J25" i="2"/>
  <c r="J26" i="2"/>
  <c r="J8" i="2"/>
  <c r="K7" i="2"/>
  <c r="G16" i="7"/>
  <c r="J6" i="5"/>
  <c r="J22" i="4"/>
  <c r="J26" i="4"/>
  <c r="K31" i="2"/>
  <c r="K11" i="2"/>
  <c r="K16" i="2"/>
  <c r="L17" i="3"/>
  <c r="K14" i="4"/>
  <c r="K42" i="2"/>
  <c r="J15" i="4"/>
  <c r="J12" i="4" s="1"/>
  <c r="K14" i="3"/>
  <c r="J34" i="2"/>
  <c r="J35" i="2" s="1"/>
  <c r="K8" i="2"/>
  <c r="K25" i="2"/>
  <c r="K26" i="2"/>
  <c r="L7" i="2"/>
  <c r="H16" i="7"/>
  <c r="K6" i="5"/>
  <c r="K22" i="4"/>
  <c r="K26" i="4"/>
  <c r="L11" i="2"/>
  <c r="L31" i="2"/>
  <c r="L42" i="2"/>
  <c r="L16" i="2"/>
  <c r="M17" i="3"/>
  <c r="L14" i="4"/>
  <c r="K34" i="2"/>
  <c r="L14" i="3"/>
  <c r="K15" i="4"/>
  <c r="K12" i="4" s="1"/>
  <c r="L8" i="2"/>
  <c r="L25" i="2"/>
  <c r="L26" i="2"/>
  <c r="M7" i="2"/>
  <c r="I16" i="7"/>
  <c r="L6" i="5"/>
  <c r="L22" i="4"/>
  <c r="L26" i="4"/>
  <c r="M16" i="2"/>
  <c r="N17" i="3"/>
  <c r="M14" i="4"/>
  <c r="M11" i="2"/>
  <c r="M31" i="2"/>
  <c r="M42" i="2"/>
  <c r="L34" i="2"/>
  <c r="I8" i="7" s="1"/>
  <c r="I12" i="7" s="1"/>
  <c r="M14" i="3"/>
  <c r="L15" i="4"/>
  <c r="L12" i="4" s="1"/>
  <c r="L35" i="2"/>
  <c r="M8" i="2"/>
  <c r="M25" i="2"/>
  <c r="M26" i="2"/>
  <c r="N7" i="2"/>
  <c r="M6" i="5"/>
  <c r="M22" i="4"/>
  <c r="M26" i="4"/>
  <c r="J16" i="7"/>
  <c r="N31" i="2"/>
  <c r="N42" i="2"/>
  <c r="N16" i="2"/>
  <c r="O17" i="3"/>
  <c r="N14" i="4"/>
  <c r="N11" i="2"/>
  <c r="M34" i="2"/>
  <c r="M45" i="2" s="1"/>
  <c r="M46" i="2" s="1"/>
  <c r="N14" i="3"/>
  <c r="M15" i="4"/>
  <c r="M12" i="4"/>
  <c r="J11" i="13" s="1"/>
  <c r="N8" i="2"/>
  <c r="N25" i="2"/>
  <c r="N26" i="2"/>
  <c r="O7" i="2"/>
  <c r="N6" i="5"/>
  <c r="N22" i="4"/>
  <c r="N26" i="4"/>
  <c r="K16" i="7"/>
  <c r="O31" i="2"/>
  <c r="O42" i="2"/>
  <c r="O16" i="2"/>
  <c r="P17" i="3"/>
  <c r="O14" i="4"/>
  <c r="O11" i="2"/>
  <c r="N34" i="2"/>
  <c r="N45" i="2" s="1"/>
  <c r="N46" i="2" s="1"/>
  <c r="O14" i="3"/>
  <c r="N15" i="4"/>
  <c r="N12" i="4"/>
  <c r="O25" i="2"/>
  <c r="O26" i="2"/>
  <c r="O8" i="2"/>
  <c r="P7" i="2"/>
  <c r="L16" i="7"/>
  <c r="O6" i="5"/>
  <c r="O22" i="4"/>
  <c r="O26" i="4"/>
  <c r="P31" i="2"/>
  <c r="P11" i="2"/>
  <c r="P16" i="2"/>
  <c r="Q17" i="3"/>
  <c r="P14" i="4"/>
  <c r="P42" i="2"/>
  <c r="Q11" i="2"/>
  <c r="Q31" i="2"/>
  <c r="Q16" i="2"/>
  <c r="R17" i="3"/>
  <c r="Q14" i="4"/>
  <c r="Q42" i="2"/>
  <c r="O34" i="2"/>
  <c r="O35" i="2" s="1"/>
  <c r="P14" i="3"/>
  <c r="O15" i="4"/>
  <c r="O12" i="4" s="1"/>
  <c r="L8" i="7"/>
  <c r="P8" i="2"/>
  <c r="P25" i="2"/>
  <c r="P26" i="2"/>
  <c r="Q7" i="2"/>
  <c r="N16" i="7"/>
  <c r="Q6" i="5"/>
  <c r="Q22" i="4"/>
  <c r="Q26" i="4"/>
  <c r="M16" i="7"/>
  <c r="P6" i="5"/>
  <c r="P22" i="4"/>
  <c r="P26" i="4"/>
  <c r="R14" i="3"/>
  <c r="Q15" i="4"/>
  <c r="Q12" i="4" s="1"/>
  <c r="P15" i="4"/>
  <c r="P12" i="4" s="1"/>
  <c r="Q8" i="2"/>
  <c r="Q25" i="2"/>
  <c r="Q8" i="5"/>
  <c r="Q26" i="2"/>
  <c r="E5" i="5"/>
  <c r="D6" i="5"/>
  <c r="D76" i="2"/>
  <c r="D96" i="2"/>
  <c r="D22" i="4"/>
  <c r="D26" i="4"/>
  <c r="D42" i="2"/>
  <c r="D62" i="2"/>
  <c r="D65" i="2"/>
  <c r="D77" i="2"/>
  <c r="D70" i="2"/>
  <c r="D43" i="2"/>
  <c r="F5" i="5"/>
  <c r="E6" i="5"/>
  <c r="D63" i="2"/>
  <c r="D64" i="2"/>
  <c r="E70" i="2"/>
  <c r="E22" i="4"/>
  <c r="E42" i="2"/>
  <c r="E76" i="2"/>
  <c r="E96" i="2"/>
  <c r="E77" i="2"/>
  <c r="E62" i="2"/>
  <c r="E65" i="2"/>
  <c r="E43" i="2"/>
  <c r="G5" i="5"/>
  <c r="F6" i="5"/>
  <c r="F77" i="2"/>
  <c r="F22" i="4"/>
  <c r="F42" i="2"/>
  <c r="E63" i="2"/>
  <c r="E64" i="2"/>
  <c r="F62" i="2"/>
  <c r="F65" i="2"/>
  <c r="F76" i="2"/>
  <c r="F96" i="2"/>
  <c r="F70" i="2"/>
  <c r="F43" i="2"/>
  <c r="E5" i="6"/>
  <c r="E7" i="6"/>
  <c r="E28" i="4"/>
  <c r="E30" i="4"/>
  <c r="F63" i="2"/>
  <c r="F64" i="2"/>
  <c r="D69" i="2"/>
  <c r="D87" i="2"/>
  <c r="D95" i="2"/>
  <c r="E32" i="4"/>
  <c r="E87" i="2"/>
  <c r="E95" i="2"/>
  <c r="E88" i="2"/>
  <c r="E69" i="2"/>
  <c r="F7" i="6"/>
  <c r="F28" i="4"/>
  <c r="F30" i="4"/>
  <c r="F32" i="4"/>
  <c r="F87" i="2"/>
  <c r="F95" i="2"/>
  <c r="F88" i="2"/>
  <c r="F69" i="2"/>
  <c r="O45" i="2"/>
  <c r="O46" i="2" s="1"/>
  <c r="N8" i="5"/>
  <c r="O8" i="5"/>
  <c r="P8" i="5"/>
  <c r="G8" i="5"/>
  <c r="G9" i="5"/>
  <c r="L45" i="2"/>
  <c r="L46" i="2" s="1"/>
  <c r="L8" i="5"/>
  <c r="K8" i="5"/>
  <c r="J8" i="5"/>
  <c r="H8" i="5"/>
  <c r="M8" i="5"/>
  <c r="I8" i="5"/>
  <c r="I45" i="2"/>
  <c r="I46" i="2" s="1"/>
  <c r="H5" i="5"/>
  <c r="H9" i="5"/>
  <c r="H9" i="3"/>
  <c r="H8" i="3"/>
  <c r="I9" i="3"/>
  <c r="I8" i="3"/>
  <c r="I5" i="5"/>
  <c r="I9" i="5"/>
  <c r="J9" i="3"/>
  <c r="J8" i="3"/>
  <c r="J5" i="5"/>
  <c r="J9" i="5"/>
  <c r="K9" i="3"/>
  <c r="K8" i="3"/>
  <c r="K5" i="5"/>
  <c r="K9" i="5"/>
  <c r="L9" i="3"/>
  <c r="L8" i="3"/>
  <c r="L5" i="5"/>
  <c r="L9" i="5"/>
  <c r="M9" i="3"/>
  <c r="M8" i="3"/>
  <c r="M5" i="5"/>
  <c r="M9" i="5"/>
  <c r="N9" i="3"/>
  <c r="N8" i="3"/>
  <c r="N5" i="5"/>
  <c r="N9" i="5"/>
  <c r="O9" i="3"/>
  <c r="O8" i="3"/>
  <c r="O5" i="5"/>
  <c r="O9" i="5"/>
  <c r="P9" i="3"/>
  <c r="P8" i="3"/>
  <c r="P5" i="5"/>
  <c r="P9" i="5"/>
  <c r="Q9" i="3"/>
  <c r="Q8" i="3"/>
  <c r="Q5" i="5"/>
  <c r="Q9" i="5"/>
  <c r="R9" i="3"/>
  <c r="R8" i="3"/>
  <c r="I30" i="4"/>
  <c r="K19" i="8"/>
  <c r="O48" i="2"/>
  <c r="O7" i="4" s="1"/>
  <c r="O19" i="4" s="1"/>
  <c r="P48" i="2"/>
  <c r="P7" i="4" s="1"/>
  <c r="P19" i="4" s="1"/>
  <c r="L19" i="8"/>
  <c r="D32" i="4"/>
  <c r="D34" i="4"/>
  <c r="E33" i="4"/>
  <c r="E34" i="4"/>
  <c r="D34" i="3"/>
  <c r="D33" i="3"/>
  <c r="D54" i="3"/>
  <c r="D56" i="3"/>
  <c r="D81" i="2"/>
  <c r="D82" i="2"/>
  <c r="F33" i="4"/>
  <c r="F34" i="4"/>
  <c r="F34" i="3"/>
  <c r="F33" i="3"/>
  <c r="E34" i="3"/>
  <c r="E33" i="3"/>
  <c r="F82" i="2"/>
  <c r="F56" i="3"/>
  <c r="F81" i="2"/>
  <c r="F54" i="3"/>
  <c r="E82" i="2"/>
  <c r="E54" i="3"/>
  <c r="E56" i="3"/>
  <c r="E81" i="2"/>
  <c r="D40" i="3"/>
  <c r="D41" i="3"/>
  <c r="D100" i="2"/>
  <c r="D71" i="2"/>
  <c r="E40" i="3"/>
  <c r="E41" i="3"/>
  <c r="E100" i="2"/>
  <c r="E71" i="2"/>
  <c r="F40" i="3"/>
  <c r="F41" i="3"/>
  <c r="F100" i="2"/>
  <c r="F71" i="2"/>
  <c r="L12" i="7" l="1"/>
  <c r="J56" i="8"/>
  <c r="K56" i="8"/>
  <c r="J19" i="8"/>
  <c r="N48" i="2"/>
  <c r="N7" i="4" s="1"/>
  <c r="N19" i="4" s="1"/>
  <c r="N28" i="4"/>
  <c r="N30" i="4" s="1"/>
  <c r="G20" i="8"/>
  <c r="O28" i="4"/>
  <c r="O30" i="4" s="1"/>
  <c r="C20" i="8"/>
  <c r="O52" i="2"/>
  <c r="G10" i="8"/>
  <c r="C42" i="8"/>
  <c r="D8" i="8"/>
  <c r="G33" i="3" s="1"/>
  <c r="D9" i="8"/>
  <c r="H35" i="2"/>
  <c r="E8" i="7"/>
  <c r="E12" i="7" s="1"/>
  <c r="H45" i="2"/>
  <c r="H46" i="2" s="1"/>
  <c r="J8" i="7"/>
  <c r="J12" i="7" s="1"/>
  <c r="M35" i="2"/>
  <c r="Q45" i="2"/>
  <c r="Q46" i="2" s="1"/>
  <c r="Q52" i="2"/>
  <c r="N8" i="7"/>
  <c r="N12" i="7" s="1"/>
  <c r="Q35" i="2"/>
  <c r="J45" i="2"/>
  <c r="J46" i="2" s="1"/>
  <c r="N35" i="2"/>
  <c r="K8" i="7"/>
  <c r="P45" i="2"/>
  <c r="P46" i="2" s="1"/>
  <c r="P52" i="2"/>
  <c r="K45" i="2"/>
  <c r="K46" i="2" s="1"/>
  <c r="F8" i="7"/>
  <c r="F12" i="7" s="1"/>
  <c r="H8" i="7"/>
  <c r="H12" i="7" s="1"/>
  <c r="K35" i="2"/>
  <c r="G8" i="7"/>
  <c r="G12" i="7" s="1"/>
  <c r="M8" i="7"/>
  <c r="M12" i="7" s="1"/>
  <c r="J13" i="13"/>
  <c r="F13" i="13"/>
  <c r="G11" i="13"/>
  <c r="G13" i="13" s="1"/>
  <c r="G18" i="7"/>
  <c r="L18" i="7"/>
  <c r="L11" i="13"/>
  <c r="L13" i="13" s="1"/>
  <c r="I11" i="13"/>
  <c r="I13" i="13" s="1"/>
  <c r="I18" i="7"/>
  <c r="H11" i="13"/>
  <c r="H13" i="13" s="1"/>
  <c r="H18" i="7"/>
  <c r="M18" i="7"/>
  <c r="M11" i="13"/>
  <c r="M13" i="13" s="1"/>
  <c r="N18" i="7"/>
  <c r="N11" i="13"/>
  <c r="N13" i="13" s="1"/>
  <c r="K18" i="7"/>
  <c r="J18" i="7"/>
  <c r="K11" i="13"/>
  <c r="K13" i="13" s="1"/>
  <c r="H14" i="3"/>
  <c r="G15" i="4"/>
  <c r="G12" i="4" s="1"/>
  <c r="H15" i="4"/>
  <c r="H12" i="4" s="1"/>
  <c r="H4" i="13"/>
  <c r="N52" i="2" l="1"/>
  <c r="O53" i="2"/>
  <c r="O55" i="2"/>
  <c r="L14" i="7" s="1"/>
  <c r="L20" i="7" s="1"/>
  <c r="K16" i="8" s="1"/>
  <c r="K22" i="8" s="1"/>
  <c r="L8" i="9" s="1"/>
  <c r="L12" i="9" s="1"/>
  <c r="O57" i="2"/>
  <c r="G9" i="8"/>
  <c r="G11" i="8" s="1"/>
  <c r="C8" i="11" s="1"/>
  <c r="C9" i="11" s="1"/>
  <c r="C11" i="11" s="1"/>
  <c r="C27" i="7" s="1"/>
  <c r="C28" i="8"/>
  <c r="C24" i="9"/>
  <c r="C37" i="7"/>
  <c r="C37" i="10" s="1"/>
  <c r="C49" i="8"/>
  <c r="C45" i="8"/>
  <c r="D42" i="8" s="1"/>
  <c r="I44" i="8"/>
  <c r="I55" i="8" s="1"/>
  <c r="N53" i="2"/>
  <c r="N55" i="2"/>
  <c r="K14" i="7" s="1"/>
  <c r="P53" i="2"/>
  <c r="P55" i="2"/>
  <c r="M14" i="7" s="1"/>
  <c r="M20" i="7" s="1"/>
  <c r="Q53" i="2"/>
  <c r="Q55" i="2"/>
  <c r="N14" i="7" s="1"/>
  <c r="N20" i="7" s="1"/>
  <c r="K12" i="7"/>
  <c r="C8" i="10"/>
  <c r="C9" i="10" s="1"/>
  <c r="E11" i="13"/>
  <c r="E13" i="13" s="1"/>
  <c r="E18" i="7"/>
  <c r="D11" i="13"/>
  <c r="D13" i="13" s="1"/>
  <c r="D18" i="7"/>
  <c r="I4" i="13"/>
  <c r="N57" i="2" l="1"/>
  <c r="O58" i="2"/>
  <c r="O6" i="4"/>
  <c r="P30" i="3"/>
  <c r="L19" i="13"/>
  <c r="L25" i="13" s="1"/>
  <c r="L28" i="13" s="1"/>
  <c r="M28" i="4"/>
  <c r="M30" i="4" s="1"/>
  <c r="I20" i="8"/>
  <c r="D45" i="8"/>
  <c r="E42" i="8" s="1"/>
  <c r="D49" i="8"/>
  <c r="C31" i="8"/>
  <c r="C35" i="8"/>
  <c r="C54" i="8" s="1"/>
  <c r="J22" i="7"/>
  <c r="F22" i="7"/>
  <c r="I22" i="7"/>
  <c r="E22" i="7"/>
  <c r="H22" i="7"/>
  <c r="D22" i="7"/>
  <c r="K22" i="7"/>
  <c r="N22" i="7"/>
  <c r="N24" i="7" s="1"/>
  <c r="M22" i="7"/>
  <c r="M24" i="7" s="1"/>
  <c r="L22" i="7"/>
  <c r="L24" i="7" s="1"/>
  <c r="G22" i="7"/>
  <c r="K20" i="7"/>
  <c r="J16" i="8" s="1"/>
  <c r="J22" i="8" s="1"/>
  <c r="K8" i="9" s="1"/>
  <c r="K12" i="9" s="1"/>
  <c r="L16" i="8"/>
  <c r="L22" i="8" s="1"/>
  <c r="M8" i="9" s="1"/>
  <c r="M12" i="9" s="1"/>
  <c r="Q57" i="2"/>
  <c r="P57" i="2"/>
  <c r="K19" i="13"/>
  <c r="N58" i="2"/>
  <c r="O30" i="3"/>
  <c r="N6" i="4"/>
  <c r="C31" i="7"/>
  <c r="M16" i="8"/>
  <c r="M22" i="8" s="1"/>
  <c r="N8" i="9" s="1"/>
  <c r="N12" i="9" s="1"/>
  <c r="J4" i="13"/>
  <c r="C32" i="7" l="1"/>
  <c r="G48" i="2"/>
  <c r="G7" i="4" s="1"/>
  <c r="G19" i="4" s="1"/>
  <c r="C19" i="8"/>
  <c r="C56" i="8"/>
  <c r="D28" i="8"/>
  <c r="E49" i="8"/>
  <c r="E45" i="8"/>
  <c r="F42" i="8" s="1"/>
  <c r="K24" i="7"/>
  <c r="K25" i="13"/>
  <c r="K28" i="13" s="1"/>
  <c r="C18" i="9"/>
  <c r="C19" i="9" s="1"/>
  <c r="R30" i="3"/>
  <c r="Q58" i="2"/>
  <c r="Q6" i="4"/>
  <c r="N19" i="13"/>
  <c r="P6" i="4"/>
  <c r="M19" i="13"/>
  <c r="Q30" i="3"/>
  <c r="P58" i="2"/>
  <c r="K4" i="13"/>
  <c r="F49" i="8" l="1"/>
  <c r="F45" i="8"/>
  <c r="G42" i="8" s="1"/>
  <c r="D31" i="8"/>
  <c r="D35" i="8"/>
  <c r="D54" i="8" s="1"/>
  <c r="M25" i="13"/>
  <c r="M28" i="13" s="1"/>
  <c r="N25" i="13"/>
  <c r="N28" i="13" s="1"/>
  <c r="L4" i="13"/>
  <c r="H48" i="2" l="1"/>
  <c r="D19" i="8"/>
  <c r="G45" i="8"/>
  <c r="H42" i="8" s="1"/>
  <c r="G49" i="8"/>
  <c r="E28" i="8"/>
  <c r="D56" i="8"/>
  <c r="M4" i="13"/>
  <c r="E35" i="8" l="1"/>
  <c r="E54" i="8" s="1"/>
  <c r="E31" i="8"/>
  <c r="H45" i="8"/>
  <c r="I42" i="8" s="1"/>
  <c r="I45" i="8" s="1"/>
  <c r="H49" i="8"/>
  <c r="H7" i="4"/>
  <c r="H19" i="4" s="1"/>
  <c r="H52" i="2"/>
  <c r="N4" i="13"/>
  <c r="G34" i="2"/>
  <c r="G35" i="2" s="1"/>
  <c r="D8" i="7"/>
  <c r="C6" i="10" s="1"/>
  <c r="D5" i="8"/>
  <c r="D11" i="8" s="1"/>
  <c r="C20" i="6"/>
  <c r="E56" i="8" l="1"/>
  <c r="F28" i="8"/>
  <c r="H55" i="2"/>
  <c r="E14" i="7" s="1"/>
  <c r="E20" i="7" s="1"/>
  <c r="H53" i="2"/>
  <c r="E19" i="8"/>
  <c r="I48" i="2"/>
  <c r="D12" i="7"/>
  <c r="H36" i="3"/>
  <c r="G8" i="4" s="1"/>
  <c r="D17" i="6"/>
  <c r="G52" i="2"/>
  <c r="G45" i="2"/>
  <c r="G46" i="2" s="1"/>
  <c r="C18" i="10" l="1"/>
  <c r="C20" i="10" s="1"/>
  <c r="G28" i="3"/>
  <c r="G40" i="3" s="1"/>
  <c r="G24" i="3" s="1"/>
  <c r="E24" i="7"/>
  <c r="D16" i="8"/>
  <c r="D22" i="8" s="1"/>
  <c r="E8" i="9" s="1"/>
  <c r="E12" i="9" s="1"/>
  <c r="I7" i="4"/>
  <c r="I19" i="4" s="1"/>
  <c r="I52" i="2"/>
  <c r="F35" i="8"/>
  <c r="F54" i="8" s="1"/>
  <c r="F31" i="8"/>
  <c r="H57" i="2"/>
  <c r="G55" i="2"/>
  <c r="D14" i="7" s="1"/>
  <c r="D20" i="7" s="1"/>
  <c r="G53" i="2"/>
  <c r="D19" i="6"/>
  <c r="D20" i="6" s="1"/>
  <c r="G57" i="2" l="1"/>
  <c r="F56" i="8"/>
  <c r="G28" i="8"/>
  <c r="I53" i="2"/>
  <c r="I55" i="2"/>
  <c r="F14" i="7" s="1"/>
  <c r="F20" i="7" s="1"/>
  <c r="I30" i="3"/>
  <c r="E19" i="13"/>
  <c r="E25" i="13" s="1"/>
  <c r="E28" i="13" s="1"/>
  <c r="H6" i="4"/>
  <c r="H58" i="2"/>
  <c r="J48" i="2"/>
  <c r="F19" i="8"/>
  <c r="G41" i="3"/>
  <c r="G12" i="3"/>
  <c r="H12" i="3" s="1"/>
  <c r="D19" i="13"/>
  <c r="H30" i="3"/>
  <c r="H28" i="3" s="1"/>
  <c r="G58" i="2"/>
  <c r="G6" i="4"/>
  <c r="G20" i="4" s="1"/>
  <c r="G32" i="4" s="1"/>
  <c r="G34" i="4" s="1"/>
  <c r="I36" i="3"/>
  <c r="H8" i="4" s="1"/>
  <c r="E17" i="6"/>
  <c r="D24" i="7"/>
  <c r="C16" i="8"/>
  <c r="C22" i="8" s="1"/>
  <c r="D8" i="9" s="1"/>
  <c r="D12" i="9" s="1"/>
  <c r="I57" i="2" l="1"/>
  <c r="F24" i="7"/>
  <c r="E16" i="8"/>
  <c r="E22" i="8" s="1"/>
  <c r="F8" i="9" s="1"/>
  <c r="F12" i="9" s="1"/>
  <c r="G31" i="8"/>
  <c r="G35" i="8"/>
  <c r="G54" i="8" s="1"/>
  <c r="J7" i="4"/>
  <c r="J19" i="4" s="1"/>
  <c r="J52" i="2"/>
  <c r="H20" i="4"/>
  <c r="H32" i="4" s="1"/>
  <c r="D25" i="13"/>
  <c r="D28" i="13" s="1"/>
  <c r="E19" i="6"/>
  <c r="E20" i="6" s="1"/>
  <c r="I28" i="3"/>
  <c r="H33" i="3"/>
  <c r="H40" i="3" s="1"/>
  <c r="H33" i="4"/>
  <c r="H24" i="3"/>
  <c r="I12" i="3"/>
  <c r="H34" i="4" l="1"/>
  <c r="K48" i="2"/>
  <c r="G19" i="8"/>
  <c r="J55" i="2"/>
  <c r="G14" i="7" s="1"/>
  <c r="G20" i="7" s="1"/>
  <c r="J53" i="2"/>
  <c r="H30" i="8"/>
  <c r="H55" i="8" s="1"/>
  <c r="G56" i="8"/>
  <c r="H28" i="8"/>
  <c r="F19" i="13"/>
  <c r="F25" i="13" s="1"/>
  <c r="F28" i="13" s="1"/>
  <c r="J30" i="3"/>
  <c r="J28" i="3" s="1"/>
  <c r="I58" i="2"/>
  <c r="I6" i="4"/>
  <c r="I33" i="3"/>
  <c r="I40" i="3" s="1"/>
  <c r="I33" i="4"/>
  <c r="F17" i="6"/>
  <c r="J36" i="3"/>
  <c r="I8" i="4" s="1"/>
  <c r="I24" i="3"/>
  <c r="J12" i="3"/>
  <c r="H41" i="3"/>
  <c r="I20" i="4" l="1"/>
  <c r="I32" i="4" s="1"/>
  <c r="I34" i="4" s="1"/>
  <c r="H31" i="8"/>
  <c r="H35" i="8"/>
  <c r="H54" i="8" s="1"/>
  <c r="F16" i="8"/>
  <c r="F22" i="8" s="1"/>
  <c r="G8" i="9" s="1"/>
  <c r="G12" i="9" s="1"/>
  <c r="G24" i="7"/>
  <c r="H20" i="8"/>
  <c r="L28" i="4"/>
  <c r="L30" i="4" s="1"/>
  <c r="J57" i="2"/>
  <c r="K7" i="4"/>
  <c r="K19" i="4" s="1"/>
  <c r="K52" i="2"/>
  <c r="I41" i="3"/>
  <c r="F19" i="6"/>
  <c r="F20" i="6" s="1"/>
  <c r="J24" i="3"/>
  <c r="K12" i="3"/>
  <c r="J33" i="3"/>
  <c r="J40" i="3" s="1"/>
  <c r="J33" i="4"/>
  <c r="K30" i="3" l="1"/>
  <c r="K28" i="3" s="1"/>
  <c r="J6" i="4"/>
  <c r="G19" i="13"/>
  <c r="G25" i="13" s="1"/>
  <c r="G28" i="13" s="1"/>
  <c r="J58" i="2"/>
  <c r="K55" i="2"/>
  <c r="H14" i="7" s="1"/>
  <c r="H20" i="7" s="1"/>
  <c r="K53" i="2"/>
  <c r="K57" i="2"/>
  <c r="H19" i="8"/>
  <c r="L48" i="2"/>
  <c r="H56" i="8"/>
  <c r="I28" i="8"/>
  <c r="K36" i="3"/>
  <c r="J8" i="4" s="1"/>
  <c r="J20" i="4" s="1"/>
  <c r="J32" i="4" s="1"/>
  <c r="J34" i="4" s="1"/>
  <c r="G17" i="6"/>
  <c r="K24" i="3"/>
  <c r="L12" i="3"/>
  <c r="J41" i="3"/>
  <c r="H19" i="13" l="1"/>
  <c r="H25" i="13" s="1"/>
  <c r="H28" i="13" s="1"/>
  <c r="L30" i="3"/>
  <c r="L28" i="3" s="1"/>
  <c r="K58" i="2"/>
  <c r="K6" i="4"/>
  <c r="G16" i="8"/>
  <c r="G22" i="8" s="1"/>
  <c r="H8" i="9" s="1"/>
  <c r="H12" i="9" s="1"/>
  <c r="H24" i="7"/>
  <c r="L52" i="2"/>
  <c r="L7" i="4"/>
  <c r="L19" i="4" s="1"/>
  <c r="I31" i="8"/>
  <c r="I56" i="8" s="1"/>
  <c r="I35" i="8"/>
  <c r="I54" i="8" s="1"/>
  <c r="L24" i="3"/>
  <c r="M12" i="3"/>
  <c r="G19" i="6"/>
  <c r="G20" i="6" s="1"/>
  <c r="K33" i="3"/>
  <c r="K40" i="3" s="1"/>
  <c r="K41" i="3" s="1"/>
  <c r="K33" i="4"/>
  <c r="L53" i="2" l="1"/>
  <c r="L55" i="2"/>
  <c r="I14" i="7" s="1"/>
  <c r="I20" i="7" s="1"/>
  <c r="M48" i="2"/>
  <c r="I19" i="8"/>
  <c r="H17" i="6"/>
  <c r="L36" i="3"/>
  <c r="K8" i="4" s="1"/>
  <c r="K20" i="4" s="1"/>
  <c r="K32" i="4" s="1"/>
  <c r="K34" i="4" s="1"/>
  <c r="M24" i="3"/>
  <c r="N12" i="3"/>
  <c r="L57" i="2" l="1"/>
  <c r="M7" i="4"/>
  <c r="M19" i="4" s="1"/>
  <c r="M52" i="2"/>
  <c r="M30" i="3"/>
  <c r="M28" i="3" s="1"/>
  <c r="I19" i="13"/>
  <c r="I25" i="13" s="1"/>
  <c r="I28" i="13" s="1"/>
  <c r="L6" i="4"/>
  <c r="L58" i="2"/>
  <c r="H16" i="8"/>
  <c r="H22" i="8" s="1"/>
  <c r="I8" i="9" s="1"/>
  <c r="I12" i="9" s="1"/>
  <c r="I24" i="7"/>
  <c r="O12" i="3"/>
  <c r="N24" i="3"/>
  <c r="L33" i="3"/>
  <c r="L40" i="3" s="1"/>
  <c r="L41" i="3" s="1"/>
  <c r="L33" i="4"/>
  <c r="H19" i="6"/>
  <c r="H20" i="6" s="1"/>
  <c r="M55" i="2" l="1"/>
  <c r="J14" i="7" s="1"/>
  <c r="J20" i="7" s="1"/>
  <c r="M53" i="2"/>
  <c r="M57" i="2"/>
  <c r="I17" i="6"/>
  <c r="M36" i="3"/>
  <c r="L8" i="4" s="1"/>
  <c r="L20" i="4" s="1"/>
  <c r="L32" i="4" s="1"/>
  <c r="L34" i="4" s="1"/>
  <c r="O24" i="3"/>
  <c r="P12" i="3"/>
  <c r="J19" i="13" l="1"/>
  <c r="J25" i="13" s="1"/>
  <c r="J28" i="13" s="1"/>
  <c r="M58" i="2"/>
  <c r="M6" i="4"/>
  <c r="N30" i="3"/>
  <c r="N28" i="3" s="1"/>
  <c r="O28" i="3" s="1"/>
  <c r="P28" i="3" s="1"/>
  <c r="Q28" i="3" s="1"/>
  <c r="I16" i="8"/>
  <c r="I22" i="8" s="1"/>
  <c r="J8" i="9" s="1"/>
  <c r="J12" i="9" s="1"/>
  <c r="C21" i="9" s="1"/>
  <c r="C23" i="9" s="1"/>
  <c r="C26" i="9" s="1"/>
  <c r="J24" i="7"/>
  <c r="C34" i="7" s="1"/>
  <c r="C36" i="7" s="1"/>
  <c r="P24" i="3"/>
  <c r="Q12" i="3"/>
  <c r="M33" i="3"/>
  <c r="M40" i="3" s="1"/>
  <c r="M41" i="3" s="1"/>
  <c r="M33" i="4"/>
  <c r="I19" i="6"/>
  <c r="I20" i="6" s="1"/>
  <c r="C42" i="7" l="1"/>
  <c r="C39" i="7"/>
  <c r="G37" i="7"/>
  <c r="C41" i="7"/>
  <c r="C28" i="9"/>
  <c r="G24" i="9"/>
  <c r="C29" i="9"/>
  <c r="J17" i="6"/>
  <c r="N36" i="3"/>
  <c r="M8" i="4" s="1"/>
  <c r="M20" i="4" s="1"/>
  <c r="M32" i="4" s="1"/>
  <c r="M34" i="4" s="1"/>
  <c r="R12" i="3"/>
  <c r="R24" i="3" s="1"/>
  <c r="Q24" i="3"/>
  <c r="R28" i="3"/>
  <c r="N33" i="3" l="1"/>
  <c r="N33" i="4"/>
  <c r="J19" i="6"/>
  <c r="J20" i="6" s="1"/>
  <c r="K17" i="6" l="1"/>
  <c r="O36" i="3"/>
  <c r="N8" i="4" s="1"/>
  <c r="N20" i="4" s="1"/>
  <c r="N32" i="4" s="1"/>
  <c r="N34" i="4" s="1"/>
  <c r="C10" i="10"/>
  <c r="C11" i="10" s="1"/>
  <c r="J19" i="10" s="1"/>
  <c r="J20" i="10" s="1"/>
  <c r="N40" i="3"/>
  <c r="N41" i="3" s="1"/>
  <c r="J27" i="10" l="1"/>
  <c r="J31" i="10" s="1"/>
  <c r="C36" i="10" s="1"/>
  <c r="C38" i="10" s="1"/>
  <c r="C39" i="10" s="1"/>
  <c r="C22" i="10"/>
  <c r="O33" i="3"/>
  <c r="O40" i="3" s="1"/>
  <c r="O41" i="3" s="1"/>
  <c r="O33" i="4"/>
  <c r="K19" i="6"/>
  <c r="K20" i="6" s="1"/>
  <c r="B44" i="10" l="1"/>
  <c r="L17" i="6"/>
  <c r="P36" i="3"/>
  <c r="O8" i="4" s="1"/>
  <c r="O20" i="4" s="1"/>
  <c r="O32" i="4" s="1"/>
  <c r="O34" i="4" s="1"/>
  <c r="P33" i="4" l="1"/>
  <c r="P33" i="3"/>
  <c r="P40" i="3" s="1"/>
  <c r="P41" i="3" s="1"/>
  <c r="L19" i="6"/>
  <c r="L20" i="6" s="1"/>
  <c r="Q36" i="3" l="1"/>
  <c r="P8" i="4" s="1"/>
  <c r="P20" i="4" s="1"/>
  <c r="P32" i="4" s="1"/>
  <c r="P34" i="4" s="1"/>
  <c r="M17" i="6"/>
  <c r="M19" i="6" l="1"/>
  <c r="M20" i="6" s="1"/>
  <c r="R36" i="3" s="1"/>
  <c r="Q8" i="4" s="1"/>
  <c r="Q20" i="4" s="1"/>
  <c r="Q32" i="4" s="1"/>
  <c r="Q33" i="4"/>
  <c r="Q33" i="3"/>
  <c r="Q40" i="3" s="1"/>
  <c r="Q41" i="3" s="1"/>
  <c r="Q34" i="4" l="1"/>
  <c r="R33" i="3" s="1"/>
  <c r="R40" i="3" s="1"/>
  <c r="R4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</authors>
  <commentList>
    <comment ref="B9" authorId="0" shapeId="0" xr:uid="{00000000-0006-0000-0000-000001000000}">
      <text>
        <r>
          <rPr>
            <sz val="10"/>
            <color theme="1"/>
            <rFont val="Arial"/>
            <family val="2"/>
          </rPr>
          <t>Sales volume of horizontal flow-pack machines (Core Business)</t>
        </r>
      </text>
    </comment>
    <comment ref="B12" authorId="0" shapeId="0" xr:uid="{00000000-0006-0000-0000-000002000000}">
      <text>
        <r>
          <rPr>
            <sz val="10"/>
            <color theme="1"/>
            <rFont val="Arial"/>
            <family val="2"/>
          </rPr>
          <t>Organic growth driven by obsolete machinery replacement cycle</t>
        </r>
      </text>
    </comment>
    <comment ref="B13" authorId="0" shapeId="0" xr:uid="{00000000-0006-0000-0000-000003000000}">
      <text>
        <r>
          <rPr>
            <sz val="10"/>
            <color theme="1"/>
            <rFont val="Arial"/>
            <family val="2"/>
          </rPr>
          <t>Capex deferral by key Food &amp; Beverage customers</t>
        </r>
      </text>
    </comment>
    <comment ref="B14" authorId="0" shapeId="0" xr:uid="{00000000-0006-0000-0000-000004000000}">
      <text>
        <r>
          <rPr>
            <sz val="10"/>
            <color theme="1"/>
            <rFont val="Arial"/>
            <family val="2"/>
          </rPr>
          <t>Market share gains at the expense of German competitors through competitive pricing</t>
        </r>
      </text>
    </comment>
    <comment ref="B17" authorId="0" shapeId="0" xr:uid="{00000000-0006-0000-0000-000005000000}">
      <text>
        <r>
          <rPr>
            <sz val="10"/>
            <color theme="1"/>
            <rFont val="Arial"/>
            <family val="2"/>
          </rPr>
          <t>Sales volume of vertical form-fill-seal (VFFS) machines</t>
        </r>
      </text>
    </comment>
    <comment ref="B20" authorId="0" shapeId="0" xr:uid="{00000000-0006-0000-0000-000006000000}">
      <text>
        <r>
          <rPr>
            <sz val="10"/>
            <color theme="1"/>
            <rFont val="Arial"/>
            <family val="2"/>
          </rPr>
          <t>Stable demand linked to staple food consumption (pasta/rice)</t>
        </r>
      </text>
    </comment>
    <comment ref="B21" authorId="0" shapeId="0" xr:uid="{00000000-0006-0000-0000-000007000000}">
      <text>
        <r>
          <rPr>
            <sz val="10"/>
            <color theme="1"/>
            <rFont val="Arial"/>
            <family val="2"/>
          </rPr>
          <t>Pricing pressure from low-cost competitors (Turkey/China)</t>
        </r>
      </text>
    </comment>
    <comment ref="B22" authorId="0" shapeId="0" xr:uid="{00000000-0006-0000-0000-000008000000}">
      <text>
        <r>
          <rPr>
            <sz val="10"/>
            <color theme="1"/>
            <rFont val="Arial"/>
            <family val="2"/>
          </rPr>
          <t>New EU regulations stimulate demand for paper-packaging-compatible machines</t>
        </r>
      </text>
    </comment>
    <comment ref="B25" authorId="0" shapeId="0" xr:uid="{00000000-0006-0000-0000-000009000000}">
      <text>
        <r>
          <rPr>
            <sz val="10"/>
            <color theme="1"/>
            <rFont val="Arial"/>
            <family val="2"/>
          </rPr>
          <t>Robotic automation systems and palletizing units (Industry 4.0)</t>
        </r>
      </text>
    </comment>
    <comment ref="B28" authorId="0" shapeId="0" xr:uid="{00000000-0006-0000-0000-00000A000000}">
      <text>
        <r>
          <rPr>
            <sz val="10"/>
            <color theme="1"/>
            <rFont val="Arial"/>
            <family val="2"/>
          </rPr>
          <t>Secular automation trend driven by labour shortages in manufacturing</t>
        </r>
      </text>
    </comment>
    <comment ref="B29" authorId="0" shapeId="0" xr:uid="{00000000-0006-0000-0000-00000B000000}">
      <text>
        <r>
          <rPr>
            <sz val="10"/>
            <color theme="1"/>
            <rFont val="Arial"/>
            <family val="2"/>
          </rPr>
          <t>Slower-than-expected technology adoption by SME customers</t>
        </r>
      </text>
    </comment>
    <comment ref="B30" authorId="0" shapeId="0" xr:uid="{00000000-0006-0000-0000-00000C000000}">
      <text>
        <r>
          <rPr>
            <sz val="10"/>
            <color theme="1"/>
            <rFont val="Arial"/>
            <family val="2"/>
          </rPr>
          <t>Launch of the new high-speed collaborative 'Cobot' line</t>
        </r>
      </text>
    </comment>
    <comment ref="B33" authorId="0" shapeId="0" xr:uid="{00000000-0006-0000-0000-000011000000}">
      <text>
        <r>
          <rPr>
            <sz val="10"/>
            <color theme="1"/>
            <rFont val="Arial"/>
            <family val="2"/>
          </rPr>
          <t>Direct production costs (Raw Materials, Components, Direct Labour)</t>
        </r>
      </text>
    </comment>
    <comment ref="B36" authorId="0" shapeId="0" xr:uid="{00000000-0006-0000-0000-000012000000}">
      <text>
        <r>
          <rPr>
            <sz val="10"/>
            <color theme="1"/>
            <rFont val="Arial"/>
            <family val="2"/>
          </rPr>
          <t>Stable gross margin supported by inflation-indexed supply contracts</t>
        </r>
      </text>
    </comment>
    <comment ref="B37" authorId="0" shapeId="0" xr:uid="{00000000-0006-0000-0000-000013000000}">
      <text>
        <r>
          <rPr>
            <sz val="10"/>
            <color theme="1"/>
            <rFont val="Arial"/>
            <family val="2"/>
          </rPr>
          <t>Energy and steel cost inflation not passed through to selling prices</t>
        </r>
      </text>
    </comment>
    <comment ref="B38" authorId="0" shapeId="0" xr:uid="{00000000-0006-0000-0000-000014000000}">
      <text>
        <r>
          <rPr>
            <sz val="10"/>
            <color theme="1"/>
            <rFont val="Arial"/>
            <family val="2"/>
          </rPr>
          <t>Procurement optimisation and waste reduction through Lean Manufacturing</t>
        </r>
      </text>
    </comment>
    <comment ref="B44" authorId="0" shapeId="0" xr:uid="{00000000-0006-0000-0000-000016000000}">
      <text>
        <r>
          <rPr>
            <sz val="10"/>
            <color theme="1"/>
            <rFont val="Arial"/>
            <family val="2"/>
          </rPr>
          <t>Constant ratio to maintain competitive positioning in key markets</t>
        </r>
      </text>
    </comment>
    <comment ref="B45" authorId="0" shapeId="0" xr:uid="{00000000-0006-0000-0000-000017000000}">
      <text>
        <r>
          <rPr>
            <sz val="10"/>
            <color theme="1"/>
            <rFont val="Arial"/>
            <family val="2"/>
          </rPr>
          <t>Lower sales force efficiency: fixed commercial costs weighing on declining volumes</t>
        </r>
      </text>
    </comment>
    <comment ref="B46" authorId="0" shapeId="0" xr:uid="{00000000-0006-0000-0000-000018000000}">
      <text>
        <r>
          <rPr>
            <sz val="10"/>
            <color theme="1"/>
            <rFont val="Arial"/>
            <family val="2"/>
          </rPr>
          <t>Commercial operating leverage: strong brand equity reduces Customer Acquisition Cost (CAC)</t>
        </r>
      </text>
    </comment>
    <comment ref="B52" authorId="0" shapeId="0" xr:uid="{00000000-0006-0000-0000-00001A000000}">
      <text>
        <r>
          <rPr>
            <sz val="10"/>
            <color theme="1"/>
            <rFont val="Arial"/>
            <family val="2"/>
          </rPr>
          <t>Overhead growing moderately (inflation + salary adjustments)</t>
        </r>
      </text>
    </comment>
    <comment ref="B53" authorId="0" shapeId="0" xr:uid="{00000000-0006-0000-0000-00001B000000}">
      <text>
        <r>
          <rPr>
            <sz val="10"/>
            <color theme="1"/>
            <rFont val="Arial"/>
            <family val="2"/>
          </rPr>
          <t>Fixed cost rigidity: % ratio rises as revenues decline (negative operating leverage)</t>
        </r>
      </text>
    </comment>
    <comment ref="B54" authorId="0" shapeId="0" xr:uid="{00000000-0006-0000-0000-00001C000000}">
      <text>
        <r>
          <rPr>
            <sz val="10"/>
            <color theme="1"/>
            <rFont val="Arial"/>
            <family val="2"/>
          </rPr>
          <t>Fixed cost dilution over a rapidly expanding revenue base</t>
        </r>
      </text>
    </comment>
    <comment ref="B57" authorId="0" shapeId="0" xr:uid="{00000000-0006-0000-0000-00001D000000}">
      <text>
        <r>
          <rPr>
            <sz val="10"/>
            <color theme="1"/>
            <rFont val="Arial"/>
            <family val="2"/>
          </rPr>
          <t>Capital expenditure on tangible fixed assets (Maintenance + Expansion)</t>
        </r>
      </text>
    </comment>
    <comment ref="B60" authorId="0" shapeId="0" xr:uid="{00000000-0006-0000-0000-00001E000000}">
      <text>
        <r>
          <rPr>
            <sz val="10"/>
            <color theme="1"/>
            <rFont val="Arial"/>
            <family val="2"/>
          </rPr>
          <t>Normalised Capex: includes routine maintenance and recurring R&amp;D investment</t>
        </r>
      </text>
    </comment>
    <comment ref="B61" authorId="0" shapeId="0" xr:uid="{00000000-0006-0000-0000-00001F000000}">
      <text>
        <r>
          <rPr>
            <sz val="10"/>
            <color theme="1"/>
            <rFont val="Arial"/>
            <family val="2"/>
          </rPr>
          <t>Cash preservation strategy: expansionary investments frozen</t>
        </r>
      </text>
    </comment>
    <comment ref="B62" authorId="0" shapeId="0" xr:uid="{00000000-0006-0000-0000-000020000000}">
      <text>
        <r>
          <rPr>
            <sz val="10"/>
            <color theme="1"/>
            <rFont val="Arial"/>
            <family val="2"/>
          </rPr>
          <t>Extraordinary plan for assembly line automation (Industry 4.0)</t>
        </r>
      </text>
    </comment>
    <comment ref="B65" authorId="0" shapeId="0" xr:uid="{740B4230-A810-440E-86B5-944958E83389}">
      <text>
        <r>
          <rPr>
            <sz val="10"/>
            <color theme="1"/>
            <rFont val="Arial"/>
            <family val="2"/>
          </rPr>
          <t>Capital expenditure on tangible fixed assets (Maintenance + Expansion)</t>
        </r>
      </text>
    </comment>
    <comment ref="B68" authorId="0" shapeId="0" xr:uid="{14EC93B8-9351-4FD0-AD36-BC55E24AA726}">
      <text>
        <r>
          <rPr>
            <sz val="10"/>
            <color theme="1"/>
            <rFont val="Arial"/>
            <family val="2"/>
          </rPr>
          <t>Normalised Capex: includes routine maintenance and recurring R&amp;D investment</t>
        </r>
      </text>
    </comment>
    <comment ref="B69" authorId="0" shapeId="0" xr:uid="{46EEB487-C0A6-429D-9465-ED3C66C9BFE3}">
      <text>
        <r>
          <rPr>
            <sz val="10"/>
            <color theme="1"/>
            <rFont val="Arial"/>
            <family val="2"/>
          </rPr>
          <t>Cash preservation strategy: expansionary investments frozen</t>
        </r>
      </text>
    </comment>
    <comment ref="B70" authorId="0" shapeId="0" xr:uid="{46FABC75-89C8-49A4-889F-DCCA0DB5170C}">
      <text>
        <r>
          <rPr>
            <sz val="10"/>
            <color theme="1"/>
            <rFont val="Arial"/>
            <family val="2"/>
          </rPr>
          <t>Extraordinary plan for assembly line automation (Industry 4.0)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  <author>Analisi Bilancio</author>
  </authors>
  <commentList>
    <comment ref="C60" authorId="0" shapeId="0" xr:uid="{1F5D10DC-8D66-4F8E-BE73-91534CCF90CF}">
      <text>
        <r>
          <rPr>
            <sz val="9"/>
            <color indexed="81"/>
            <rFont val="Tahoma"/>
            <family val="2"/>
          </rPr>
          <t>Measure of after-tax net operating income — earnings from core operations excluding the debt tax shield.</t>
        </r>
      </text>
    </comment>
    <comment ref="B63" authorId="0" shapeId="0" xr:uid="{00000000-0006-0000-0100-000005000000}">
      <text>
        <r>
          <rPr>
            <sz val="10"/>
            <color theme="1"/>
            <rFont val="Arial"/>
            <family val="2"/>
          </rPr>
          <t>EBITDA minus Capex: discretionary cash flow available for debt service.</t>
        </r>
      </text>
    </comment>
    <comment ref="B65" authorId="0" shapeId="0" xr:uid="{00000000-0006-0000-0100-000006000000}">
      <text>
        <r>
          <rPr>
            <sz val="10"/>
            <color theme="1"/>
            <rFont val="Arial"/>
            <family val="2"/>
          </rPr>
          <t>Capital intensity ratio monitors reinvestment required to sustain revenue growth.</t>
        </r>
      </text>
    </comment>
    <comment ref="B67" authorId="1" shapeId="0" xr:uid="{00000000-0006-0000-0100-000007000000}">
      <text>
        <r>
          <rPr>
            <sz val="10"/>
            <color theme="1"/>
            <rFont val="Arial"/>
            <family val="2"/>
          </rPr>
          <t>Ratio class illustrating the company's overall profitability and the contribution from each area of management.</t>
        </r>
      </text>
    </comment>
    <comment ref="B69" authorId="1" shapeId="0" xr:uid="{00000000-0006-0000-0100-000008000000}">
      <text>
        <r>
          <rPr>
            <sz val="10"/>
            <color theme="1"/>
            <rFont val="Arial"/>
            <family val="2"/>
          </rPr>
          <t>ROE = Net Income / Shareholders' Equity.
Measures the overall return on equity — compare with the cost of equity (Ke).</t>
        </r>
      </text>
    </comment>
    <comment ref="B70" authorId="1" shapeId="0" xr:uid="{00000000-0006-0000-0100-000009000000}">
      <text>
        <r>
          <rPr>
            <sz val="10"/>
            <color theme="1"/>
            <rFont val="Arial"/>
            <family val="2"/>
          </rPr>
          <t>ROA = EBIT / Total Assets.
Expresses the efficiency of core operations and their contribution to ROE.</t>
        </r>
      </text>
    </comment>
    <comment ref="B71" authorId="1" shapeId="0" xr:uid="{00000000-0006-0000-0100-00000A000000}">
      <text>
        <r>
          <rPr>
            <sz val="10"/>
            <color theme="1"/>
            <rFont val="Arial"/>
            <family val="2"/>
          </rPr>
          <t>ROI = EBIT / Total Invested Capital.
Return generated by core operations on all invested resources (debt and equity).</t>
        </r>
      </text>
    </comment>
    <comment ref="B72" authorId="1" shapeId="0" xr:uid="{00000000-0006-0000-0100-00000B000000}">
      <text>
        <r>
          <rPr>
            <sz val="10"/>
            <color theme="1"/>
            <rFont val="Arial"/>
            <family val="2"/>
          </rPr>
          <t>ROS = EBIT / Net Revenues.
Expresses sales profitability — a direct function of prices, volumes, and operating costs.</t>
        </r>
      </text>
    </comment>
    <comment ref="B74" authorId="1" shapeId="0" xr:uid="{00000000-0006-0000-0100-00000C000000}">
      <text>
        <r>
          <rPr>
            <sz val="10"/>
            <color theme="1"/>
            <rFont val="Arial"/>
            <family val="2"/>
          </rPr>
          <t>Efficiency indicators for productive factors. Most meaningful when benchmarked against sector peers or analysed over time.</t>
        </r>
      </text>
    </comment>
    <comment ref="B76" authorId="1" shapeId="0" xr:uid="{00000000-0006-0000-0100-00000D000000}">
      <text>
        <r>
          <rPr>
            <sz val="10"/>
            <color theme="1"/>
            <rFont val="Arial"/>
            <family val="2"/>
          </rPr>
          <t>ASSET TURNOVER = Net Revenues / Total Assets.
Number of times invested capital is recovered through revenues. Reciprocal = Capital Intensity.</t>
        </r>
      </text>
    </comment>
    <comment ref="B77" authorId="1" shapeId="0" xr:uid="{00000000-0006-0000-0100-00000E000000}">
      <text>
        <r>
          <rPr>
            <sz val="10"/>
            <color theme="1"/>
            <rFont val="Arial"/>
            <family val="2"/>
          </rPr>
          <t>CAPITAL INTENSITY = Total Assets / Net Revenues.
Volume of investment required to produce one unit of sales. (Efficiency Ratios)</t>
        </r>
      </text>
    </comment>
    <comment ref="B79" authorId="1" shapeId="0" xr:uid="{00000000-0006-0000-0100-00000F000000}">
      <text>
        <r>
          <rPr>
            <sz val="10"/>
            <color theme="1"/>
            <rFont val="Arial"/>
            <family val="2"/>
          </rPr>
          <t>Assess company solvency in the short term (liquidity) and medium-long term (capital strength). Solvency influences the ability to raise debt.</t>
        </r>
      </text>
    </comment>
    <comment ref="B81" authorId="1" shapeId="0" xr:uid="{00000000-0006-0000-0100-000010000000}">
      <text>
        <r>
          <rPr>
            <sz val="10"/>
            <color theme="1"/>
            <rFont val="Arial"/>
            <family val="2"/>
          </rPr>
          <t>QUICK RATIO = (Current Assets − Inventory) / Current Liabilities.
Conservative liquidity measure that excludes inventory.</t>
        </r>
      </text>
    </comment>
    <comment ref="B82" authorId="1" shapeId="0" xr:uid="{00000000-0006-0000-0100-000011000000}">
      <text>
        <r>
          <rPr>
            <sz val="10"/>
            <color theme="1"/>
            <rFont val="Arial"/>
            <family val="2"/>
          </rPr>
          <t>CURRENT RATIO = Current Assets / Current Liabilities.
Whether assets maturing within one year cover short-term obligations.</t>
        </r>
      </text>
    </comment>
    <comment ref="B83" authorId="1" shapeId="0" xr:uid="{00000000-0006-0000-0100-000012000000}">
      <text>
        <r>
          <rPr>
            <sz val="10"/>
            <color theme="1"/>
            <rFont val="Arial"/>
            <family val="2"/>
          </rPr>
          <t>OPERATING LIQUIDITY RATIO = Operating Current Assets / Operating Current Liabilities.
Excludes non-operating items. An increase signals improving NWC management.</t>
        </r>
      </text>
    </comment>
    <comment ref="B85" authorId="1" shapeId="0" xr:uid="{00000000-0006-0000-0100-000014000000}">
      <text>
        <r>
          <rPr>
            <sz val="10"/>
            <color theme="1"/>
            <rFont val="Arial"/>
            <family val="2"/>
          </rPr>
          <t>Measure medium-long term solvency (capital strength). Depends on the match between stable funding and long-term assets, and degree of leverage.</t>
        </r>
      </text>
    </comment>
    <comment ref="B87" authorId="1" shapeId="0" xr:uid="{00000000-0006-0000-0100-000015000000}">
      <text>
        <r>
          <rPr>
            <sz val="10"/>
            <color theme="1"/>
            <rFont val="Arial"/>
            <family val="2"/>
          </rPr>
          <t>LEVERAGE = Total Assets / Shareholders' Equity.
Measures equity participation in business risk. A high ratio indicates higher financial risk.</t>
        </r>
      </text>
    </comment>
    <comment ref="B88" authorId="1" shapeId="0" xr:uid="{00000000-0006-0000-0100-000016000000}">
      <text>
        <r>
          <rPr>
            <sz val="10"/>
            <color theme="1"/>
            <rFont val="Arial"/>
            <family val="2"/>
          </rPr>
          <t>CAPITALIZATION RATIO = Shareholders' Equity / Financial Debt.
Proportion of equity to interest-bearing debt. A low ratio signals high leverage.</t>
        </r>
      </text>
    </comment>
    <comment ref="B89" authorId="1" shapeId="0" xr:uid="{00000000-0006-0000-0100-000017000000}">
      <text>
        <r>
          <rPr>
            <sz val="10"/>
            <color theme="1"/>
            <rFont val="Arial"/>
            <family val="2"/>
          </rPr>
          <t>INTEREST COVERAGE = EBIT / Interest Expense.
If = 3: EUR 3 of operating margin per EUR 1 of interest.</t>
        </r>
      </text>
    </comment>
    <comment ref="B90" authorId="1" shapeId="0" xr:uid="{00000000-0006-0000-0100-000018000000}">
      <text>
        <r>
          <rPr>
            <sz val="10"/>
            <color theme="1"/>
            <rFont val="Arial"/>
            <family val="2"/>
          </rPr>
          <t>FIXED ASSET COVERAGE = Shareholders' Equity / Net PP&amp;E.
Coherence between funding sources and the long-term asset base. STRUCTURAL MARGIN = Equity − Net PP&amp;E.</t>
        </r>
      </text>
    </comment>
    <comment ref="B93" authorId="1" shapeId="0" xr:uid="{00000000-0006-0000-0100-000019000000}">
      <text>
        <r>
          <rPr>
            <sz val="10"/>
            <color theme="1"/>
            <rFont val="Arial"/>
            <family val="2"/>
          </rPr>
          <t>Formula: ROE = ROA × Leverage × Non-Operating Incidence
i.e.: ROE = (EBIT/TA) × (TA/Equity) × (NI/EBIT)
Highlights: core ops (ROA), financial structure (Leverage), non-operating items.</t>
        </r>
      </text>
    </comment>
    <comment ref="B98" authorId="1" shapeId="0" xr:uid="{00000000-0006-0000-0100-00001A000000}">
      <text>
        <r>
          <rPr>
            <sz val="10"/>
            <color theme="1"/>
            <rFont val="Arial"/>
            <family val="2"/>
          </rPr>
          <t>Formula: ROE = [ROA + (ROA − I) × Fin.Debt/Equity] × (1 − T)
Where I = Net Interest / Financial Debt. Separates core operations from financial leverage.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  <author>Analisi Bilancio</author>
  </authors>
  <commentList>
    <comment ref="B8" authorId="0" shapeId="0" xr:uid="{00000000-0006-0000-0200-000001000000}">
      <text>
        <r>
          <rPr>
            <sz val="10"/>
            <color theme="1"/>
            <rFont val="Arial"/>
            <family val="2"/>
          </rPr>
          <t>Driven by the Capex plan net of depreciation. Includes new machinery for automation upgrades.</t>
        </r>
      </text>
    </comment>
    <comment ref="B12" authorId="0" shapeId="0" xr:uid="{00000000-0006-0000-0200-000002000000}">
      <text>
        <r>
          <rPr>
            <sz val="10"/>
            <color theme="1"/>
            <rFont val="Arial"/>
            <family val="2"/>
          </rPr>
          <t>Premium paid over Net Book Value at acquisition. Subject to annual impairment testing; not amortised.</t>
        </r>
      </text>
    </comment>
    <comment ref="B33" authorId="0" shapeId="0" xr:uid="{9EFC61EE-DEE7-435F-84C4-B527BAE1899A}">
      <text>
        <r>
          <rPr>
            <sz val="9"/>
            <color indexed="81"/>
            <rFont val="Tahoma"/>
            <family val="2"/>
          </rPr>
          <t>NFP = Financial Debt − Cash.
Measures net financial indebtedness. The benchmark metric for debt structure and leverage analysis.</t>
        </r>
      </text>
    </comment>
    <comment ref="H47" authorId="0" shapeId="0" xr:uid="{00000000-0006-0000-0200-000005000000}">
      <text>
        <r>
          <rPr>
            <sz val="10"/>
            <color theme="1"/>
            <rFont val="Arial"/>
            <family val="2"/>
          </rPr>
          <t>Estimates based on a DPO of 100 days, standard for Italian B2B manufacturing.</t>
        </r>
      </text>
    </comment>
    <comment ref="J47" authorId="0" shapeId="0" xr:uid="{00000000-0006-0000-0200-000006000000}">
      <text>
        <r>
          <rPr>
            <sz val="10"/>
            <color theme="1"/>
            <rFont val="Arial"/>
            <family val="2"/>
          </rPr>
          <t>Working capital parameters (DSO, DIO, DPO) projected constant from 2026, consistent with historical dynamics.</t>
        </r>
      </text>
    </comment>
    <comment ref="B54" authorId="1" shapeId="0" xr:uid="{00000000-0006-0000-0200-000008000000}">
      <text>
        <r>
          <rPr>
            <sz val="10"/>
            <color theme="1"/>
            <rFont val="Arial"/>
            <family val="2"/>
          </rPr>
          <t>QUICK LIQUIDITY MARGIN = Current Assets − Inventory − Current Liabilities.
Conservative measure of immediate liquidity that excludes inventory.</t>
        </r>
      </text>
    </comment>
    <comment ref="B55" authorId="1" shapeId="0" xr:uid="{00000000-0006-0000-0200-000009000000}">
      <text>
        <r>
          <rPr>
            <sz val="10"/>
            <color theme="1"/>
            <rFont val="Arial"/>
            <family val="2"/>
          </rPr>
          <t>STRUCTURAL MARGIN = Shareholders' Equity − Net PP&amp;E.
Positive value signals a sound capital structure.</t>
        </r>
      </text>
    </comment>
    <comment ref="B56" authorId="1" shapeId="0" xr:uid="{00000000-0006-0000-0200-00000A000000}">
      <text>
        <r>
          <rPr>
            <sz val="10"/>
            <color theme="1"/>
            <rFont val="Arial"/>
            <family val="2"/>
          </rPr>
          <t>FNWC = Current Assets − Current Liabilities.
Reservoir of values capable of generating liquidity. Distinct from operating NWC.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</authors>
  <commentList>
    <comment ref="G7" authorId="0" shapeId="0" xr:uid="{00000000-0006-0000-0400-000001000000}">
      <text>
        <r>
          <rPr>
            <sz val="10"/>
            <color theme="1"/>
            <rFont val="Arial"/>
            <family val="2"/>
          </rPr>
          <t>Full depreciation of disposed assets assumed with zero residual value.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Analisi Bilancio</author>
  </authors>
  <commentList>
    <comment ref="A27" authorId="0" shapeId="0" xr:uid="{00000000-0006-0000-0600-000001000000}">
      <text>
        <r>
          <rPr>
            <sz val="10"/>
            <color theme="1"/>
            <rFont val="Arial"/>
            <family val="2"/>
          </rPr>
          <t>WACC = Weighted Average Cost of Capital. Computed in the 'WACC Calculation' sheet. Discount rate for unlevered operating cash flows (FCFF).</t>
        </r>
      </text>
    </comment>
    <comment ref="A28" authorId="0" shapeId="0" xr:uid="{00000000-0006-0000-0600-000002000000}">
      <text>
        <r>
          <rPr>
            <sz val="10"/>
            <color theme="1"/>
            <rFont val="Arial"/>
            <family val="2"/>
          </rPr>
          <t>PGR = Perpetuity Growth Rate. Rate at which cash flows grow in perpetuity within the Terminal Value. Typically close to long-run nominal GDP growth.</t>
        </r>
      </text>
    </comment>
    <comment ref="A31" authorId="0" shapeId="0" xr:uid="{00000000-0006-0000-0600-000003000000}">
      <text>
        <r>
          <rPr>
            <sz val="10"/>
            <color theme="1"/>
            <rFont val="Arial"/>
            <family val="2"/>
          </rPr>
          <t>TERMINAL VALUE = FCF_n × (1+g) / (WACC − g)
PV of all cash flows beyond the explicit forecast horizon. Often 60–80% of total EV.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  <author>Dell</author>
  </authors>
  <commentList>
    <comment ref="E9" authorId="0" shapeId="0" xr:uid="{00000000-0006-0000-0700-000001000000}">
      <text>
        <r>
          <rPr>
            <sz val="10"/>
            <color theme="1"/>
            <rFont val="Arial"/>
            <family val="2"/>
          </rPr>
          <t>3M Euribor (~4.0%) + SME Spread (~2.0%)</t>
        </r>
      </text>
    </comment>
    <comment ref="F9" authorId="1" shapeId="0" xr:uid="{00000000-0006-0000-0700-000002000000}">
      <text>
        <r>
          <rPr>
            <sz val="10"/>
            <color theme="1"/>
            <rFont val="Arial"/>
            <family val="2"/>
          </rPr>
          <t>Assumed interest rate and tenor</t>
        </r>
      </text>
    </comment>
    <comment ref="F10" authorId="1" shapeId="0" xr:uid="{00000000-0006-0000-0700-000003000000}">
      <text>
        <r>
          <rPr>
            <sz val="10"/>
            <color theme="1"/>
            <rFont val="Arial"/>
            <family val="2"/>
          </rPr>
          <t>Assumed interest rate and tenor</t>
        </r>
      </text>
    </comment>
    <comment ref="I44" authorId="0" shapeId="0" xr:uid="{00000000-0006-0000-0700-000006000000}">
      <text>
        <r>
          <rPr>
            <sz val="10"/>
            <color theme="1"/>
            <rFont val="Arial"/>
            <family val="2"/>
          </rPr>
          <t>Bullet debt (repaid at maturity)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</authors>
  <commentList>
    <comment ref="A4" authorId="0" shapeId="0" xr:uid="{00000000-0006-0000-0900-000001000000}">
      <text>
        <r>
          <rPr>
            <sz val="10"/>
            <color theme="1"/>
            <rFont val="Arial"/>
            <family val="2"/>
          </rPr>
          <t>Extended holding period to allow full operational recovery and deleveraging following Capex expansion in 2031.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Analisi Bilancio</author>
    <author>Samuel Munoz</author>
  </authors>
  <commentList>
    <comment ref="B4" authorId="0" shapeId="0" xr:uid="{00000000-0006-0000-0A00-000001000000}">
      <text>
        <r>
          <rPr>
            <sz val="10"/>
            <color theme="1"/>
            <rFont val="Arial"/>
            <family val="2"/>
          </rPr>
          <t>Debt weight in the target capital structure. Determines the weight of the cost of debt in the WACC calculation. (Corporate Finance)</t>
        </r>
      </text>
    </comment>
    <comment ref="B5" authorId="0" shapeId="0" xr:uid="{00000000-0006-0000-0A00-000002000000}">
      <text>
        <r>
          <rPr>
            <sz val="10"/>
            <color theme="1"/>
            <rFont val="Arial"/>
            <family val="2"/>
          </rPr>
          <t>Equity weight in the target structure. Determines the weight of the cost of equity (Ke) in the WACC calculation. (Corporate Finance)</t>
        </r>
      </text>
    </comment>
    <comment ref="B7" authorId="0" shapeId="0" xr:uid="{00000000-0006-0000-0A00-000003000000}">
      <text>
        <r>
          <rPr>
            <sz val="10"/>
            <color theme="1"/>
            <rFont val="Arial"/>
            <family val="2"/>
          </rPr>
          <t>Ke = Cost of Equity. Set at 15% as the PE hurdle rate: minimum required return for the private equity investor. (Corporate Finance)</t>
        </r>
      </text>
    </comment>
    <comment ref="C7" authorId="1" shapeId="0" xr:uid="{00000000-0006-0000-0A00-000004000000}">
      <text>
        <r>
          <rPr>
            <sz val="10"/>
            <color theme="1"/>
            <rFont val="Arial"/>
            <family val="2"/>
          </rPr>
          <t>Hurdle rate set at 15% as the analysis is evaluated from a private equity investor perspective.</t>
        </r>
      </text>
    </comment>
    <comment ref="B8" authorId="0" shapeId="0" xr:uid="{00000000-0006-0000-0A00-000005000000}">
      <text>
        <r>
          <rPr>
            <sz val="10"/>
            <color theme="1"/>
            <rFont val="Arial"/>
            <family val="2"/>
          </rPr>
          <t>Kd pre-tax = Pre-Tax Cost of Debt. Calculated as 3M Euribor + corporate spread. (Capital Structure Ratios)</t>
        </r>
      </text>
    </comment>
    <comment ref="B9" authorId="0" shapeId="0" xr:uid="{00000000-0006-0000-0A00-000006000000}">
      <text>
        <r>
          <rPr>
            <sz val="10"/>
            <color theme="1"/>
            <rFont val="Arial"/>
            <family val="2"/>
          </rPr>
          <t>Kd post-tax = Kd × (1 − T). The debt tax shield reduces the effective cost of borrowing. (Corporate Finance)</t>
        </r>
      </text>
    </comment>
    <comment ref="C11" authorId="1" shapeId="0" xr:uid="{00000000-0006-0000-0A00-000007000000}">
      <text>
        <r>
          <rPr>
            <sz val="10"/>
            <color theme="1"/>
            <rFont val="Arial"/>
            <family val="2"/>
          </rPr>
          <t>WACC is based on the optimal target capital structure (30% Debt) for DCF valuation. The higher LBO structure (65%) is specific to the leveraged buyout model.</t>
        </r>
      </text>
    </comment>
  </commentList>
</comments>
</file>

<file path=xl/sharedStrings.xml><?xml version="1.0" encoding="utf-8"?>
<sst xmlns="http://schemas.openxmlformats.org/spreadsheetml/2006/main" count="377" uniqueCount="231">
  <si>
    <t>Select Scenario</t>
  </si>
  <si>
    <t>Base Case</t>
  </si>
  <si>
    <t>Input Data</t>
  </si>
  <si>
    <t>Actual</t>
  </si>
  <si>
    <t>Base</t>
  </si>
  <si>
    <t>Downside</t>
  </si>
  <si>
    <t>Upside</t>
  </si>
  <si>
    <t>Cost of Goods Sold (% Revenue)</t>
  </si>
  <si>
    <t>Capex (% Revenue)</t>
  </si>
  <si>
    <t>Income Statement</t>
  </si>
  <si>
    <t>(Year-End Dec 31, EURm)</t>
  </si>
  <si>
    <t>2022A</t>
  </si>
  <si>
    <t>2023A</t>
  </si>
  <si>
    <t>2024A</t>
  </si>
  <si>
    <t>2026E</t>
  </si>
  <si>
    <t>2027E</t>
  </si>
  <si>
    <t>2028E</t>
  </si>
  <si>
    <t>2029E</t>
  </si>
  <si>
    <t>2030E</t>
  </si>
  <si>
    <t>2031E</t>
  </si>
  <si>
    <t>2032E</t>
  </si>
  <si>
    <t>2033E</t>
  </si>
  <si>
    <t>2034E</t>
  </si>
  <si>
    <t>2035E</t>
  </si>
  <si>
    <t>% Growth</t>
  </si>
  <si>
    <t>% of Total Revenue</t>
  </si>
  <si>
    <t>Cost of Goods Sold</t>
  </si>
  <si>
    <t>Gross Profit</t>
  </si>
  <si>
    <t>EBIT</t>
  </si>
  <si>
    <t>Net Margin (%)</t>
  </si>
  <si>
    <t>Depreciation &amp; Amortization</t>
  </si>
  <si>
    <t>Capital Expenditures (Capex)</t>
  </si>
  <si>
    <t>EBITDA</t>
  </si>
  <si>
    <t>Interest Expense</t>
  </si>
  <si>
    <t>Pre-Tax Income (EBT)</t>
  </si>
  <si>
    <t>Income Taxes</t>
  </si>
  <si>
    <t>Net Income (Retained)</t>
  </si>
  <si>
    <t>Capex</t>
  </si>
  <si>
    <t>EBITDA - Capex</t>
  </si>
  <si>
    <t>EBITDA - Capex / EBITDA</t>
  </si>
  <si>
    <t>PROFITABILITY RATIOS</t>
  </si>
  <si>
    <t>ROE</t>
  </si>
  <si>
    <t>ROA</t>
  </si>
  <si>
    <t>ROI</t>
  </si>
  <si>
    <t>ROS</t>
  </si>
  <si>
    <t>EFFICIENCY RATIOS</t>
  </si>
  <si>
    <t>ASSET TURNOVER</t>
  </si>
  <si>
    <t>CAPITAL INTENSITY</t>
  </si>
  <si>
    <t>LIQUIDITY &amp; WORKING CAPITAL RATIOS</t>
  </si>
  <si>
    <t>QUICK RATIO</t>
  </si>
  <si>
    <t>CURRENT RATIO</t>
  </si>
  <si>
    <t>OPERATING LIQUIDITY RATIO</t>
  </si>
  <si>
    <t>CAPITAL STRUCTURE RATIOS</t>
  </si>
  <si>
    <t>LEVERAGE (TA/Equity)</t>
  </si>
  <si>
    <t>CAPITALIZATION RATIO (Equity/Fin. Debt)</t>
  </si>
  <si>
    <t>INTEREST COVERAGE (EBIT/Interest)</t>
  </si>
  <si>
    <t>FIXED ASSET COVERAGE (Equity/Net PP&amp;E)</t>
  </si>
  <si>
    <t>ROE = ROA x Leverage x Non-Op. Incidence</t>
  </si>
  <si>
    <t>ROA = ROS x Asset Turnover</t>
  </si>
  <si>
    <t>ROE = [ROA + (ROA - I) x Fin.Debt/Eq.] x (1-T)</t>
  </si>
  <si>
    <t>Balance Sheet</t>
  </si>
  <si>
    <t>2025 (Adjusted)</t>
  </si>
  <si>
    <t>Assets</t>
  </si>
  <si>
    <t>Acquisition Goodwill (LBO)</t>
  </si>
  <si>
    <t>Trade Receivables</t>
  </si>
  <si>
    <t>Liabilities &amp; Equity</t>
  </si>
  <si>
    <t>Shareholders' Equity</t>
  </si>
  <si>
    <t>Share Capital</t>
  </si>
  <si>
    <t>Retained Earnings</t>
  </si>
  <si>
    <t>Current Liabilities</t>
  </si>
  <si>
    <t>Trade Payables</t>
  </si>
  <si>
    <t>Total Liabilities &amp; Equity</t>
  </si>
  <si>
    <t>Check</t>
  </si>
  <si>
    <t>QUICK LIQUIDITY MARGIN</t>
  </si>
  <si>
    <t>STRUCTURAL MARGIN</t>
  </si>
  <si>
    <t>FINANCIAL NET WORKING CAPITAL (FNWC)</t>
  </si>
  <si>
    <t>Cash Flow Statement</t>
  </si>
  <si>
    <t>Net Income</t>
  </si>
  <si>
    <t>Changes in Working Capital</t>
  </si>
  <si>
    <t>Change in Trade Receivables</t>
  </si>
  <si>
    <t>Change in Trade Payables</t>
  </si>
  <si>
    <t>Change in Inventory</t>
  </si>
  <si>
    <t>Less: Interest Expense</t>
  </si>
  <si>
    <t>Cash Flow from Investing Activities</t>
  </si>
  <si>
    <t>Cash Flow from Financing Activities</t>
  </si>
  <si>
    <t>Ending Cash</t>
  </si>
  <si>
    <t>Opening Balance</t>
  </si>
  <si>
    <t>(+) New Borrowings</t>
  </si>
  <si>
    <t>(-) Disposals</t>
  </si>
  <si>
    <t>(-) Depreciation &amp; Amortization</t>
  </si>
  <si>
    <t>Closing Balance</t>
  </si>
  <si>
    <t>Debt Schedule</t>
  </si>
  <si>
    <t>(-) Repayments</t>
  </si>
  <si>
    <t>Interest Rate</t>
  </si>
  <si>
    <t>Italian Packaging Co.</t>
  </si>
  <si>
    <t>Discounted Cash Flow Analysis</t>
  </si>
  <si>
    <t>D&amp;A</t>
  </si>
  <si>
    <t>Changes in NWC</t>
  </si>
  <si>
    <t>Discount Factor</t>
  </si>
  <si>
    <t>PV of FCF</t>
  </si>
  <si>
    <t>WACC</t>
  </si>
  <si>
    <t>Perpetuity Growth Rate (PGR)</t>
  </si>
  <si>
    <t>Terminal Value (TV)</t>
  </si>
  <si>
    <t>PV of Terminal Value</t>
  </si>
  <si>
    <t>PV of Projected Cash Flows</t>
  </si>
  <si>
    <t>Sensitivity Table</t>
  </si>
  <si>
    <t>Enterprise Value (EV)</t>
  </si>
  <si>
    <t>Net Financial Position (NFP)</t>
  </si>
  <si>
    <t>Minority Interests</t>
  </si>
  <si>
    <t>Equity Value</t>
  </si>
  <si>
    <t>EV / EBITDA (Year +1)</t>
  </si>
  <si>
    <t>EV / EBIT (Year +1)</t>
  </si>
  <si>
    <t>LBO Model</t>
  </si>
  <si>
    <t>(€m)</t>
  </si>
  <si>
    <t>Assumed Entry Multiple (EV/Fwd. EBITDA)</t>
  </si>
  <si>
    <t>Assumed Leverage (x LTM EBITDA)</t>
  </si>
  <si>
    <t>Senior Debt</t>
  </si>
  <si>
    <t>6 years</t>
  </si>
  <si>
    <t>Subordinated Debt</t>
  </si>
  <si>
    <t>7 years</t>
  </si>
  <si>
    <t>Blended Cost of Debt</t>
  </si>
  <si>
    <t>Free Cash Flow pre-Financing</t>
  </si>
  <si>
    <t>Less:</t>
  </si>
  <si>
    <t>Interest Payments</t>
  </si>
  <si>
    <t>Repayments</t>
  </si>
  <si>
    <t>Cash Available to Equity</t>
  </si>
  <si>
    <t>Interest</t>
  </si>
  <si>
    <t>Repayment</t>
  </si>
  <si>
    <t>Outstanding Debt</t>
  </si>
  <si>
    <t>IRR Valuation</t>
  </si>
  <si>
    <t>Free Cash Flow to Equity (FCFE)</t>
  </si>
  <si>
    <t>Cost of Equity (Ke)</t>
  </si>
  <si>
    <t>Return Profile - 7-Year Hold</t>
  </si>
  <si>
    <t>Entry Multiple (EV/Fwd. EBITDA)</t>
  </si>
  <si>
    <t>EBITDA Year 1</t>
  </si>
  <si>
    <t>EBITDA at Exit (Year 7)</t>
  </si>
  <si>
    <t>Enterprise Value at Exit (EURm)</t>
  </si>
  <si>
    <t>Less: Net Financial Position</t>
  </si>
  <si>
    <t>Equity Value at Exit (EURm)</t>
  </si>
  <si>
    <t>Equity Proceeds at Exit</t>
  </si>
  <si>
    <t>Total Cash Flows</t>
  </si>
  <si>
    <t>IRR (Internal Rate of Return)</t>
  </si>
  <si>
    <t>Entry Equity Value</t>
  </si>
  <si>
    <t>EV/EBITDA Fwd.</t>
  </si>
  <si>
    <t>Exit Scenario - 7Y Hold (7.5x Fwd. EBITDA)</t>
  </si>
  <si>
    <t>Entry Price</t>
  </si>
  <si>
    <t>Target Capital Structure</t>
  </si>
  <si>
    <t>Debt</t>
  </si>
  <si>
    <t>Cost of Equity (Ke)</t>
  </si>
  <si>
    <t>Pre-Tax Cost of Debt (Kd)</t>
  </si>
  <si>
    <t>After-Tax Cost of Debt</t>
  </si>
  <si>
    <t>MULTIPLICATIVE DECOMPOSITION</t>
  </si>
  <si>
    <t>ADDITIVE DECOMPOSITION</t>
  </si>
  <si>
    <t>BALANCE SHEET INDICATORS</t>
  </si>
  <si>
    <t>Days Calculation</t>
  </si>
  <si>
    <t>Days Inventory Outstanding (DIO)</t>
  </si>
  <si>
    <t>Days Payable Outstanding (DPO)</t>
  </si>
  <si>
    <t>Days Sales Outstanding (DSO)</t>
  </si>
  <si>
    <t>Perpetuity Growth Rate (PGR)</t>
  </si>
  <si>
    <t>% Perpetuity Growth</t>
  </si>
  <si>
    <t>Inventory</t>
  </si>
  <si>
    <t>Add: Beginning Cash</t>
  </si>
  <si>
    <t>Add: Depreciation &amp; Amortization</t>
  </si>
  <si>
    <t>Initial Investment</t>
  </si>
  <si>
    <t>PV of Cash Flows</t>
  </si>
  <si>
    <t>Operating Cash Flow (FCF)</t>
  </si>
  <si>
    <t>Net Change in Cash</t>
  </si>
  <si>
    <t>FCFF (Free Cash Flow to Firm)</t>
  </si>
  <si>
    <t>EBITDA</t>
  </si>
  <si>
    <t>EBITDA Margin (%)</t>
  </si>
  <si>
    <t>NET DEBT / EBITDA</t>
  </si>
  <si>
    <t>Net Working Capital (NWC)</t>
  </si>
  <si>
    <t>Net Financial Position (NFP)</t>
  </si>
  <si>
    <t>Fixed Assets</t>
  </si>
  <si>
    <t>(+) Capital Additions</t>
  </si>
  <si>
    <t>2021A</t>
  </si>
  <si>
    <t>2025E</t>
  </si>
  <si>
    <t>Net Sales</t>
  </si>
  <si>
    <t>Other Revenues</t>
  </si>
  <si>
    <t>Raw Materials</t>
  </si>
  <si>
    <t>Change in Finished Goods Inventory</t>
  </si>
  <si>
    <t>Change in Raw Materials Inventory</t>
  </si>
  <si>
    <t>SG&amp;A Expenses</t>
  </si>
  <si>
    <t>Personnel Costs</t>
  </si>
  <si>
    <t>Total Revenue</t>
  </si>
  <si>
    <t>PP&amp;E &amp; Intangibles Schedule</t>
  </si>
  <si>
    <t>Allowance for Doubtful Accounts</t>
  </si>
  <si>
    <t>* LBO financed post-2024 *</t>
  </si>
  <si>
    <t>Other Financial Income</t>
  </si>
  <si>
    <t>Capex / Total Revenue</t>
  </si>
  <si>
    <t>Intangible &amp; Tangible Fixed Assets (Net PP&amp;E)</t>
  </si>
  <si>
    <t>Financial Investments</t>
  </si>
  <si>
    <t>Total Assets</t>
  </si>
  <si>
    <t>Other Net Current Items</t>
  </si>
  <si>
    <t>Customer Advances</t>
  </si>
  <si>
    <t>Reserves</t>
  </si>
  <si>
    <t>Cash &amp; Cash Equivalents</t>
  </si>
  <si>
    <t>Marketable Securities</t>
  </si>
  <si>
    <t>Provisions &amp; Employee Severance Fund (TFR)</t>
  </si>
  <si>
    <t>Capsule Lines Volume Growth</t>
  </si>
  <si>
    <t>Pod/Filter Lines Volume Growth</t>
  </si>
  <si>
    <t>Spare Parts &amp; After-Sales Service Growth</t>
  </si>
  <si>
    <t>EBIAT (NOPAT)</t>
  </si>
  <si>
    <t>Change in Marketable Securities</t>
  </si>
  <si>
    <t>D&amp;A (% Revenue)</t>
  </si>
  <si>
    <t>Add: Interest Expense</t>
  </si>
  <si>
    <t>Less: Financial Income</t>
  </si>
  <si>
    <t>Change in Customer Advances</t>
  </si>
  <si>
    <t>Add: Change in TFR Fund</t>
  </si>
  <si>
    <t>Change in Other Current Items</t>
  </si>
  <si>
    <t>Change in Financial Investments</t>
  </si>
  <si>
    <t>Add: Financial Income</t>
  </si>
  <si>
    <t>Dividends Paid</t>
  </si>
  <si>
    <t>Change in Financial Debt</t>
  </si>
  <si>
    <t>Customer Advance Days</t>
  </si>
  <si>
    <t>(+) Annual Accrual</t>
  </si>
  <si>
    <t>(-) Utilizations / Settlements</t>
  </si>
  <si>
    <t>Provisions &amp; Employee Severance Fund (TFR)</t>
  </si>
  <si>
    <t>LTM EBITDA (2024A)</t>
  </si>
  <si>
    <t>Forward EBITDA (2025E)</t>
  </si>
  <si>
    <t>Sponsor Equity</t>
  </si>
  <si>
    <t>Total LBO Debt</t>
  </si>
  <si>
    <t>Exit Multiple (7-Year Hold)</t>
  </si>
  <si>
    <t>Prospective Financial Requirements Analysis</t>
  </si>
  <si>
    <t>Change in NWC</t>
  </si>
  <si>
    <t>Total Uses of Funds</t>
  </si>
  <si>
    <t>Uses of Funds</t>
  </si>
  <si>
    <t>Internal Sources (Self-Financing)</t>
  </si>
  <si>
    <t>Total Internal Sources</t>
  </si>
  <si>
    <t>Net External Financing Requirement</t>
  </si>
  <si>
    <t>Change in TFR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</si>
</sst>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%"/>
    <numFmt numFmtId="165" formatCode="_(* #,##0.0_);_(* \(#,##0.0\);_(* &quot;-&quot;??_);_(@_)"/>
    <numFmt numFmtId="166" formatCode="0.0"/>
    <numFmt numFmtId="167" formatCode="#.##000;\(#.##000\);* &quot;--&quot;"/>
    <numFmt numFmtId="168" formatCode="#,##0.0;\(#,##0.0\);\-\-"/>
    <numFmt numFmtId="169" formatCode="#,##0;\(#,##0\);\-\-"/>
    <numFmt numFmtId="170" formatCode="0.0\x"/>
    <numFmt numFmtId="171" formatCode="0.000"/>
    <numFmt numFmtId="172" formatCode="0&quot; days&quot;"/>
    <numFmt numFmtId="173" formatCode="_-* #,##0.0\ _€_-;\-* #,##0.0\ _€_-;_-* &quot;-&quot;?\ _€_-;_-@_-"/>
    <numFmt numFmtId="174" formatCode="0&quot;E&quot;"/>
    <numFmt numFmtId="175" formatCode="#,##0.0"/>
    <numFmt numFmtId="176" formatCode="0&quot;A&quot;"/>
    <numFmt numFmtId="177" formatCode="0.0;\(0.0\)"/>
    <numFmt numFmtId="178" formatCode="#.##;\(#.##\);* &quot;--&quot;"/>
    <numFmt numFmtId="179" formatCode="#,##0.00;\(#,##0.00\);\-\-"/>
  </numFmts>
  <fonts count="33" x14ac:knownFonts="1">
    <font>
      <sz val="10"/>
      <color theme="1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4" tint="0.39997558519241921"/>
      <name val="Arial"/>
      <family val="2"/>
    </font>
    <font>
      <b/>
      <sz val="11"/>
      <color theme="4" tint="0.39997558519241921"/>
      <name val="Arial"/>
      <family val="2"/>
    </font>
    <font>
      <sz val="11"/>
      <color theme="0"/>
      <name val="Arial"/>
      <family val="2"/>
    </font>
    <font>
      <b/>
      <sz val="10"/>
      <color rgb="FFC0000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4" tint="0.39997558519241921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i/>
      <sz val="10"/>
      <color rgb="FFFF0000"/>
      <name val="Arial"/>
      <family val="2"/>
    </font>
    <font>
      <b/>
      <sz val="10"/>
      <color theme="4" tint="0.39997558519241921"/>
      <name val="Arial"/>
      <family val="2"/>
    </font>
    <font>
      <sz val="10"/>
      <color rgb="FFC00000"/>
      <name val="Arial"/>
      <family val="2"/>
    </font>
    <font>
      <b/>
      <u/>
      <sz val="10"/>
      <color theme="1"/>
      <name val="Arial"/>
      <family val="2"/>
    </font>
    <font>
      <sz val="10"/>
      <color theme="3" tint="0.49998474074526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0"/>
      <color theme="4" tint="0.59999389629810485"/>
      <name val="Arial"/>
      <family val="2"/>
    </font>
    <font>
      <sz val="8.5"/>
      <color rgb="FF595959"/>
      <name val="Arial"/>
      <family val="2"/>
    </font>
    <font>
      <sz val="10"/>
      <color rgb="FF00B0F0"/>
      <name val="Arial"/>
      <family val="2"/>
    </font>
    <font>
      <sz val="10"/>
      <color indexed="8"/>
      <name val="Arial"/>
      <family val="2"/>
    </font>
    <font>
      <b/>
      <sz val="10"/>
      <color rgb="FF00B0F0"/>
      <name val="Arial"/>
      <family val="2"/>
    </font>
    <font>
      <i/>
      <sz val="11"/>
      <name val="Arial"/>
      <family val="2"/>
    </font>
    <font>
      <sz val="11"/>
      <color rgb="FF00B0F0"/>
      <name val="Arial"/>
      <family val="2"/>
    </font>
    <font>
      <sz val="11"/>
      <name val="Arial"/>
      <family val="2"/>
    </font>
    <font>
      <sz val="12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theme="2"/>
      </right>
      <top/>
      <bottom/>
      <diagonal/>
    </border>
    <border>
      <left/>
      <right/>
      <top/>
      <bottom style="hair">
        <color theme="2"/>
      </bottom>
      <diagonal/>
    </border>
    <border>
      <left/>
      <right style="hair">
        <color theme="2"/>
      </right>
      <top/>
      <bottom style="hair">
        <color theme="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dashed">
        <color theme="0" tint="-0.14990691854609822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dashed">
        <color theme="0" tint="-0.14990691854609822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/>
    <xf numFmtId="0" fontId="27" fillId="0" borderId="0"/>
  </cellStyleXfs>
  <cellXfs count="248">
    <xf numFmtId="0" fontId="0" fillId="0" borderId="0" xfId="0"/>
    <xf numFmtId="0" fontId="2" fillId="0" borderId="0" xfId="0" applyFont="1"/>
    <xf numFmtId="0" fontId="3" fillId="0" borderId="0" xfId="0" applyFont="1"/>
    <xf numFmtId="0" fontId="1" fillId="4" borderId="1" xfId="0" applyFont="1" applyFill="1" applyBorder="1"/>
    <xf numFmtId="0" fontId="8" fillId="0" borderId="0" xfId="0" applyFont="1"/>
    <xf numFmtId="0" fontId="6" fillId="2" borderId="0" xfId="0" applyFont="1" applyFill="1"/>
    <xf numFmtId="0" fontId="3" fillId="0" borderId="3" xfId="0" applyFont="1" applyBorder="1"/>
    <xf numFmtId="164" fontId="2" fillId="0" borderId="0" xfId="0" applyNumberFormat="1" applyFont="1" applyAlignment="1">
      <alignment horizontal="right"/>
    </xf>
    <xf numFmtId="0" fontId="2" fillId="2" borderId="0" xfId="0" applyFont="1" applyFill="1"/>
    <xf numFmtId="164" fontId="6" fillId="2" borderId="0" xfId="0" applyNumberFormat="1" applyFont="1" applyFill="1"/>
    <xf numFmtId="0" fontId="2" fillId="3" borderId="0" xfId="0" applyFont="1" applyFill="1"/>
    <xf numFmtId="165" fontId="0" fillId="0" borderId="0" xfId="0" applyNumberFormat="1"/>
    <xf numFmtId="165" fontId="0" fillId="0" borderId="6" xfId="0" applyNumberFormat="1" applyBorder="1"/>
    <xf numFmtId="165" fontId="6" fillId="0" borderId="0" xfId="0" applyNumberFormat="1" applyFont="1"/>
    <xf numFmtId="0" fontId="4" fillId="0" borderId="0" xfId="0" applyFont="1" applyAlignment="1">
      <alignment horizontal="left" indent="1"/>
    </xf>
    <xf numFmtId="0" fontId="3" fillId="4" borderId="0" xfId="0" applyFont="1" applyFill="1"/>
    <xf numFmtId="0" fontId="0" fillId="4" borderId="0" xfId="0" applyFill="1" applyAlignment="1">
      <alignment horizontal="right"/>
    </xf>
    <xf numFmtId="166" fontId="0" fillId="0" borderId="0" xfId="0" applyNumberFormat="1"/>
    <xf numFmtId="0" fontId="3" fillId="2" borderId="9" xfId="0" applyFont="1" applyFill="1" applyBorder="1"/>
    <xf numFmtId="0" fontId="0" fillId="4" borderId="4" xfId="0" applyFill="1" applyBorder="1" applyAlignment="1">
      <alignment horizontal="right"/>
    </xf>
    <xf numFmtId="167" fontId="0" fillId="0" borderId="0" xfId="0" applyNumberFormat="1" applyAlignment="1">
      <alignment horizontal="right"/>
    </xf>
    <xf numFmtId="0" fontId="0" fillId="4" borderId="4" xfId="0" applyFill="1" applyBorder="1" applyAlignment="1">
      <alignment horizontal="left"/>
    </xf>
    <xf numFmtId="0" fontId="3" fillId="3" borderId="9" xfId="0" applyFont="1" applyFill="1" applyBorder="1"/>
    <xf numFmtId="166" fontId="0" fillId="3" borderId="9" xfId="0" applyNumberFormat="1" applyFill="1" applyBorder="1" applyAlignment="1">
      <alignment horizontal="right"/>
    </xf>
    <xf numFmtId="0" fontId="9" fillId="0" borderId="0" xfId="0" applyFont="1"/>
    <xf numFmtId="166" fontId="6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168" fontId="0" fillId="0" borderId="0" xfId="0" applyNumberFormat="1"/>
    <xf numFmtId="169" fontId="4" fillId="6" borderId="1" xfId="0" applyNumberFormat="1" applyFont="1" applyFill="1" applyBorder="1" applyAlignment="1">
      <alignment horizontal="left"/>
    </xf>
    <xf numFmtId="9" fontId="4" fillId="6" borderId="2" xfId="0" applyNumberFormat="1" applyFont="1" applyFill="1" applyBorder="1"/>
    <xf numFmtId="9" fontId="10" fillId="0" borderId="0" xfId="0" applyNumberFormat="1" applyFont="1"/>
    <xf numFmtId="168" fontId="10" fillId="0" borderId="0" xfId="0" applyNumberFormat="1" applyFont="1"/>
    <xf numFmtId="169" fontId="4" fillId="0" borderId="0" xfId="0" applyNumberFormat="1" applyFont="1" applyAlignment="1">
      <alignment horizontal="left"/>
    </xf>
    <xf numFmtId="168" fontId="4" fillId="0" borderId="0" xfId="0" applyNumberFormat="1" applyFont="1"/>
    <xf numFmtId="168" fontId="4" fillId="6" borderId="10" xfId="0" applyNumberFormat="1" applyFont="1" applyFill="1" applyBorder="1"/>
    <xf numFmtId="169" fontId="4" fillId="0" borderId="0" xfId="0" applyNumberFormat="1" applyFont="1"/>
    <xf numFmtId="169" fontId="10" fillId="0" borderId="0" xfId="0" applyNumberFormat="1" applyFont="1" applyAlignment="1">
      <alignment horizontal="left" indent="1"/>
    </xf>
    <xf numFmtId="0" fontId="4" fillId="0" borderId="0" xfId="0" applyFont="1" applyAlignment="1">
      <alignment horizontal="center"/>
    </xf>
    <xf numFmtId="0" fontId="4" fillId="0" borderId="0" xfId="0" applyFont="1"/>
    <xf numFmtId="0" fontId="11" fillId="4" borderId="0" xfId="0" applyFont="1" applyFill="1"/>
    <xf numFmtId="0" fontId="4" fillId="4" borderId="0" xfId="0" applyFont="1" applyFill="1"/>
    <xf numFmtId="166" fontId="4" fillId="0" borderId="0" xfId="0" applyNumberFormat="1" applyFont="1"/>
    <xf numFmtId="9" fontId="4" fillId="0" borderId="0" xfId="0" applyNumberFormat="1" applyFont="1"/>
    <xf numFmtId="0" fontId="4" fillId="4" borderId="4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right"/>
    </xf>
    <xf numFmtId="166" fontId="12" fillId="0" borderId="0" xfId="0" applyNumberFormat="1" applyFont="1"/>
    <xf numFmtId="0" fontId="11" fillId="3" borderId="9" xfId="0" applyFont="1" applyFill="1" applyBorder="1"/>
    <xf numFmtId="168" fontId="5" fillId="3" borderId="9" xfId="0" applyNumberFormat="1" applyFont="1" applyFill="1" applyBorder="1" applyAlignment="1">
      <alignment horizontal="right"/>
    </xf>
    <xf numFmtId="165" fontId="13" fillId="4" borderId="0" xfId="0" applyNumberFormat="1" applyFont="1" applyFill="1"/>
    <xf numFmtId="165" fontId="14" fillId="4" borderId="0" xfId="0" applyNumberFormat="1" applyFont="1" applyFill="1"/>
    <xf numFmtId="165" fontId="11" fillId="4" borderId="4" xfId="0" applyNumberFormat="1" applyFont="1" applyFill="1" applyBorder="1" applyAlignment="1">
      <alignment horizontal="right"/>
    </xf>
    <xf numFmtId="165" fontId="11" fillId="4" borderId="6" xfId="0" applyNumberFormat="1" applyFont="1" applyFill="1" applyBorder="1" applyAlignment="1">
      <alignment horizontal="right"/>
    </xf>
    <xf numFmtId="165" fontId="11" fillId="4" borderId="5" xfId="0" applyNumberFormat="1" applyFont="1" applyFill="1" applyBorder="1" applyAlignment="1">
      <alignment horizontal="right"/>
    </xf>
    <xf numFmtId="165" fontId="11" fillId="4" borderId="0" xfId="0" applyNumberFormat="1" applyFont="1" applyFill="1" applyAlignment="1">
      <alignment horizontal="right"/>
    </xf>
    <xf numFmtId="165" fontId="11" fillId="0" borderId="0" xfId="0" applyNumberFormat="1" applyFont="1"/>
    <xf numFmtId="165" fontId="11" fillId="0" borderId="6" xfId="0" applyNumberFormat="1" applyFont="1" applyBorder="1"/>
    <xf numFmtId="165" fontId="0" fillId="0" borderId="7" xfId="0" applyNumberFormat="1" applyBorder="1"/>
    <xf numFmtId="9" fontId="0" fillId="0" borderId="7" xfId="0" applyNumberFormat="1" applyBorder="1"/>
    <xf numFmtId="9" fontId="0" fillId="0" borderId="8" xfId="0" applyNumberFormat="1" applyBorder="1"/>
    <xf numFmtId="9" fontId="0" fillId="0" borderId="0" xfId="0" applyNumberFormat="1"/>
    <xf numFmtId="9" fontId="0" fillId="0" borderId="6" xfId="0" applyNumberFormat="1" applyBorder="1"/>
    <xf numFmtId="165" fontId="0" fillId="0" borderId="0" xfId="0" applyNumberFormat="1" applyAlignment="1">
      <alignment horizontal="left" indent="1"/>
    </xf>
    <xf numFmtId="165" fontId="0" fillId="0" borderId="0" xfId="0" applyNumberFormat="1" applyAlignment="1">
      <alignment horizontal="right"/>
    </xf>
    <xf numFmtId="165" fontId="12" fillId="0" borderId="0" xfId="0" applyNumberFormat="1" applyFont="1"/>
    <xf numFmtId="165" fontId="12" fillId="0" borderId="6" xfId="0" applyNumberFormat="1" applyFont="1" applyBorder="1"/>
    <xf numFmtId="165" fontId="0" fillId="0" borderId="7" xfId="0" applyNumberFormat="1" applyBorder="1" applyAlignment="1">
      <alignment horizontal="left" indent="1"/>
    </xf>
    <xf numFmtId="164" fontId="0" fillId="0" borderId="0" xfId="0" applyNumberFormat="1"/>
    <xf numFmtId="165" fontId="11" fillId="0" borderId="0" xfId="0" applyNumberFormat="1" applyFont="1" applyAlignment="1">
      <alignment horizontal="left"/>
    </xf>
    <xf numFmtId="165" fontId="11" fillId="4" borderId="0" xfId="0" applyNumberFormat="1" applyFont="1" applyFill="1"/>
    <xf numFmtId="170" fontId="0" fillId="0" borderId="0" xfId="0" applyNumberFormat="1" applyAlignment="1">
      <alignment horizontal="right"/>
    </xf>
    <xf numFmtId="166" fontId="11" fillId="0" borderId="0" xfId="0" applyNumberFormat="1" applyFont="1"/>
    <xf numFmtId="170" fontId="0" fillId="0" borderId="0" xfId="0" applyNumberFormat="1"/>
    <xf numFmtId="169" fontId="10" fillId="0" borderId="0" xfId="0" applyNumberFormat="1" applyFont="1" applyAlignment="1">
      <alignment horizontal="center"/>
    </xf>
    <xf numFmtId="164" fontId="4" fillId="0" borderId="0" xfId="0" applyNumberFormat="1" applyFont="1"/>
    <xf numFmtId="164" fontId="4" fillId="6" borderId="2" xfId="0" applyNumberFormat="1" applyFont="1" applyFill="1" applyBorder="1"/>
    <xf numFmtId="169" fontId="11" fillId="0" borderId="11" xfId="0" applyNumberFormat="1" applyFont="1" applyBorder="1"/>
    <xf numFmtId="0" fontId="4" fillId="0" borderId="12" xfId="0" applyFont="1" applyBorder="1"/>
    <xf numFmtId="1" fontId="11" fillId="0" borderId="13" xfId="0" applyNumberFormat="1" applyFont="1" applyBorder="1"/>
    <xf numFmtId="169" fontId="11" fillId="0" borderId="14" xfId="0" applyNumberFormat="1" applyFont="1" applyBorder="1"/>
    <xf numFmtId="0" fontId="4" fillId="0" borderId="3" xfId="0" applyFont="1" applyBorder="1"/>
    <xf numFmtId="166" fontId="11" fillId="0" borderId="15" xfId="0" applyNumberFormat="1" applyFont="1" applyBorder="1"/>
    <xf numFmtId="166" fontId="13" fillId="3" borderId="9" xfId="0" applyNumberFormat="1" applyFont="1" applyFill="1" applyBorder="1" applyAlignment="1">
      <alignment horizontal="right"/>
    </xf>
    <xf numFmtId="165" fontId="0" fillId="3" borderId="0" xfId="0" applyNumberFormat="1" applyFill="1"/>
    <xf numFmtId="0" fontId="11" fillId="4" borderId="4" xfId="0" applyFont="1" applyFill="1" applyBorder="1" applyAlignment="1">
      <alignment horizontal="right"/>
    </xf>
    <xf numFmtId="0" fontId="10" fillId="4" borderId="4" xfId="0" applyFont="1" applyFill="1" applyBorder="1" applyAlignment="1">
      <alignment horizontal="left"/>
    </xf>
    <xf numFmtId="0" fontId="11" fillId="2" borderId="0" xfId="0" applyFont="1" applyFill="1"/>
    <xf numFmtId="0" fontId="9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169" fontId="11" fillId="0" borderId="9" xfId="0" applyNumberFormat="1" applyFont="1" applyBorder="1" applyAlignment="1">
      <alignment horizontal="left"/>
    </xf>
    <xf numFmtId="168" fontId="11" fillId="0" borderId="9" xfId="0" applyNumberFormat="1" applyFont="1" applyBorder="1"/>
    <xf numFmtId="168" fontId="11" fillId="7" borderId="16" xfId="0" applyNumberFormat="1" applyFont="1" applyFill="1" applyBorder="1"/>
    <xf numFmtId="168" fontId="4" fillId="7" borderId="5" xfId="0" applyNumberFormat="1" applyFont="1" applyFill="1" applyBorder="1"/>
    <xf numFmtId="169" fontId="4" fillId="0" borderId="0" xfId="0" applyNumberFormat="1" applyFont="1" applyAlignment="1">
      <alignment horizontal="left" indent="2"/>
    </xf>
    <xf numFmtId="168" fontId="11" fillId="0" borderId="0" xfId="0" applyNumberFormat="1" applyFont="1"/>
    <xf numFmtId="168" fontId="11" fillId="7" borderId="5" xfId="0" applyNumberFormat="1" applyFont="1" applyFill="1" applyBorder="1"/>
    <xf numFmtId="9" fontId="10" fillId="7" borderId="5" xfId="0" applyNumberFormat="1" applyFont="1" applyFill="1" applyBorder="1"/>
    <xf numFmtId="169" fontId="4" fillId="0" borderId="0" xfId="0" applyNumberFormat="1" applyFont="1" applyAlignment="1">
      <alignment horizontal="left" indent="1"/>
    </xf>
    <xf numFmtId="168" fontId="12" fillId="0" borderId="0" xfId="0" applyNumberFormat="1" applyFont="1"/>
    <xf numFmtId="0" fontId="11" fillId="4" borderId="0" xfId="0" applyFont="1" applyFill="1" applyAlignment="1">
      <alignment horizontal="right"/>
    </xf>
    <xf numFmtId="0" fontId="11" fillId="4" borderId="5" xfId="0" applyFont="1" applyFill="1" applyBorder="1" applyAlignment="1">
      <alignment horizontal="right"/>
    </xf>
    <xf numFmtId="169" fontId="4" fillId="0" borderId="17" xfId="0" applyNumberFormat="1" applyFont="1" applyBorder="1" applyAlignment="1">
      <alignment horizontal="left"/>
    </xf>
    <xf numFmtId="169" fontId="4" fillId="0" borderId="14" xfId="0" applyNumberFormat="1" applyFont="1" applyBorder="1" applyAlignment="1">
      <alignment horizontal="left"/>
    </xf>
    <xf numFmtId="0" fontId="0" fillId="7" borderId="5" xfId="0" applyFill="1" applyBorder="1"/>
    <xf numFmtId="166" fontId="0" fillId="7" borderId="5" xfId="0" applyNumberFormat="1" applyFill="1" applyBorder="1"/>
    <xf numFmtId="0" fontId="0" fillId="7" borderId="18" xfId="0" applyFill="1" applyBorder="1"/>
    <xf numFmtId="0" fontId="0" fillId="7" borderId="19" xfId="0" applyFill="1" applyBorder="1"/>
    <xf numFmtId="0" fontId="11" fillId="4" borderId="20" xfId="0" applyFont="1" applyFill="1" applyBorder="1"/>
    <xf numFmtId="0" fontId="11" fillId="4" borderId="13" xfId="0" applyFont="1" applyFill="1" applyBorder="1" applyAlignment="1">
      <alignment horizontal="right"/>
    </xf>
    <xf numFmtId="0" fontId="11" fillId="4" borderId="20" xfId="0" applyFont="1" applyFill="1" applyBorder="1" applyAlignment="1">
      <alignment horizontal="right"/>
    </xf>
    <xf numFmtId="0" fontId="0" fillId="0" borderId="17" xfId="0" applyBorder="1"/>
    <xf numFmtId="0" fontId="0" fillId="0" borderId="4" xfId="0" applyBorder="1"/>
    <xf numFmtId="172" fontId="0" fillId="0" borderId="0" xfId="0" applyNumberFormat="1"/>
    <xf numFmtId="172" fontId="12" fillId="5" borderId="0" xfId="0" applyNumberFormat="1" applyFont="1" applyFill="1"/>
    <xf numFmtId="172" fontId="0" fillId="0" borderId="4" xfId="0" applyNumberFormat="1" applyBorder="1"/>
    <xf numFmtId="172" fontId="0" fillId="0" borderId="3" xfId="0" applyNumberFormat="1" applyBorder="1"/>
    <xf numFmtId="172" fontId="12" fillId="5" borderId="3" xfId="0" applyNumberFormat="1" applyFont="1" applyFill="1" applyBorder="1"/>
    <xf numFmtId="172" fontId="0" fillId="0" borderId="15" xfId="0" applyNumberFormat="1" applyBorder="1"/>
    <xf numFmtId="0" fontId="0" fillId="0" borderId="21" xfId="0" applyBorder="1"/>
    <xf numFmtId="169" fontId="15" fillId="0" borderId="0" xfId="0" applyNumberFormat="1" applyFont="1" applyAlignment="1">
      <alignment horizontal="left" indent="2"/>
    </xf>
    <xf numFmtId="168" fontId="15" fillId="0" borderId="0" xfId="0" applyNumberFormat="1" applyFont="1"/>
    <xf numFmtId="168" fontId="4" fillId="0" borderId="13" xfId="0" applyNumberFormat="1" applyFont="1" applyBorder="1"/>
    <xf numFmtId="168" fontId="4" fillId="0" borderId="4" xfId="0" applyNumberFormat="1" applyFont="1" applyBorder="1"/>
    <xf numFmtId="169" fontId="10" fillId="0" borderId="0" xfId="0" applyNumberFormat="1" applyFont="1" applyAlignment="1">
      <alignment horizontal="left" indent="2"/>
    </xf>
    <xf numFmtId="169" fontId="11" fillId="0" borderId="22" xfId="0" applyNumberFormat="1" applyFont="1" applyBorder="1"/>
    <xf numFmtId="9" fontId="10" fillId="0" borderId="22" xfId="0" applyNumberFormat="1" applyFont="1" applyBorder="1"/>
    <xf numFmtId="168" fontId="11" fillId="0" borderId="22" xfId="0" applyNumberFormat="1" applyFont="1" applyBorder="1"/>
    <xf numFmtId="168" fontId="4" fillId="0" borderId="23" xfId="0" applyNumberFormat="1" applyFont="1" applyBorder="1"/>
    <xf numFmtId="168" fontId="4" fillId="0" borderId="22" xfId="0" applyNumberFormat="1" applyFont="1" applyBorder="1"/>
    <xf numFmtId="169" fontId="11" fillId="0" borderId="12" xfId="0" applyNumberFormat="1" applyFont="1" applyBorder="1"/>
    <xf numFmtId="168" fontId="4" fillId="0" borderId="12" xfId="0" applyNumberFormat="1" applyFont="1" applyBorder="1"/>
    <xf numFmtId="168" fontId="11" fillId="0" borderId="12" xfId="0" applyNumberFormat="1" applyFont="1" applyBorder="1"/>
    <xf numFmtId="169" fontId="11" fillId="8" borderId="9" xfId="0" applyNumberFormat="1" applyFont="1" applyFill="1" applyBorder="1" applyAlignment="1">
      <alignment horizontal="left"/>
    </xf>
    <xf numFmtId="168" fontId="4" fillId="8" borderId="9" xfId="0" applyNumberFormat="1" applyFont="1" applyFill="1" applyBorder="1"/>
    <xf numFmtId="168" fontId="11" fillId="8" borderId="9" xfId="0" applyNumberFormat="1" applyFont="1" applyFill="1" applyBorder="1"/>
    <xf numFmtId="168" fontId="11" fillId="0" borderId="23" xfId="0" applyNumberFormat="1" applyFont="1" applyBorder="1"/>
    <xf numFmtId="173" fontId="13" fillId="2" borderId="9" xfId="0" applyNumberFormat="1" applyFont="1" applyFill="1" applyBorder="1" applyAlignment="1">
      <alignment horizontal="right"/>
    </xf>
    <xf numFmtId="166" fontId="17" fillId="7" borderId="5" xfId="0" applyNumberFormat="1" applyFont="1" applyFill="1" applyBorder="1"/>
    <xf numFmtId="0" fontId="7" fillId="2" borderId="2" xfId="0" applyFont="1" applyFill="1" applyBorder="1" applyAlignment="1">
      <alignment horizontal="center"/>
    </xf>
    <xf numFmtId="0" fontId="0" fillId="4" borderId="0" xfId="0" applyFill="1"/>
    <xf numFmtId="0" fontId="14" fillId="3" borderId="3" xfId="0" applyFont="1" applyFill="1" applyBorder="1"/>
    <xf numFmtId="0" fontId="5" fillId="3" borderId="3" xfId="0" applyFont="1" applyFill="1" applyBorder="1"/>
    <xf numFmtId="0" fontId="13" fillId="3" borderId="22" xfId="0" applyFont="1" applyFill="1" applyBorder="1"/>
    <xf numFmtId="1" fontId="13" fillId="3" borderId="22" xfId="0" applyNumberFormat="1" applyFont="1" applyFill="1" applyBorder="1"/>
    <xf numFmtId="0" fontId="13" fillId="3" borderId="0" xfId="0" applyFont="1" applyFill="1"/>
    <xf numFmtId="1" fontId="13" fillId="3" borderId="0" xfId="0" applyNumberFormat="1" applyFont="1" applyFill="1"/>
    <xf numFmtId="0" fontId="14" fillId="3" borderId="0" xfId="0" applyFont="1" applyFill="1"/>
    <xf numFmtId="0" fontId="5" fillId="3" borderId="0" xfId="0" applyFont="1" applyFill="1"/>
    <xf numFmtId="174" fontId="13" fillId="4" borderId="24" xfId="0" applyNumberFormat="1" applyFont="1" applyFill="1" applyBorder="1" applyAlignment="1">
      <alignment horizontal="right"/>
    </xf>
    <xf numFmtId="0" fontId="18" fillId="0" borderId="0" xfId="0" applyFont="1"/>
    <xf numFmtId="164" fontId="19" fillId="0" borderId="0" xfId="0" applyNumberFormat="1" applyFont="1"/>
    <xf numFmtId="0" fontId="13" fillId="3" borderId="11" xfId="0" applyFont="1" applyFill="1" applyBorder="1"/>
    <xf numFmtId="0" fontId="13" fillId="3" borderId="12" xfId="0" applyFont="1" applyFill="1" applyBorder="1"/>
    <xf numFmtId="0" fontId="13" fillId="3" borderId="17" xfId="0" applyFont="1" applyFill="1" applyBorder="1"/>
    <xf numFmtId="0" fontId="5" fillId="3" borderId="17" xfId="0" applyFont="1" applyFill="1" applyBorder="1"/>
    <xf numFmtId="9" fontId="5" fillId="3" borderId="4" xfId="0" applyNumberFormat="1" applyFont="1" applyFill="1" applyBorder="1"/>
    <xf numFmtId="0" fontId="5" fillId="3" borderId="4" xfId="0" applyFont="1" applyFill="1" applyBorder="1"/>
    <xf numFmtId="168" fontId="11" fillId="0" borderId="4" xfId="0" applyNumberFormat="1" applyFont="1" applyBorder="1"/>
    <xf numFmtId="0" fontId="13" fillId="3" borderId="14" xfId="0" applyFont="1" applyFill="1" applyBorder="1"/>
    <xf numFmtId="0" fontId="13" fillId="3" borderId="3" xfId="0" applyFont="1" applyFill="1" applyBorder="1"/>
    <xf numFmtId="168" fontId="11" fillId="0" borderId="15" xfId="0" applyNumberFormat="1" applyFont="1" applyBorder="1"/>
    <xf numFmtId="0" fontId="5" fillId="0" borderId="0" xfId="0" applyFont="1"/>
    <xf numFmtId="170" fontId="13" fillId="3" borderId="13" xfId="0" applyNumberFormat="1" applyFont="1" applyFill="1" applyBorder="1"/>
    <xf numFmtId="170" fontId="13" fillId="3" borderId="15" xfId="0" applyNumberFormat="1" applyFont="1" applyFill="1" applyBorder="1"/>
    <xf numFmtId="0" fontId="20" fillId="0" borderId="0" xfId="0" applyFont="1"/>
    <xf numFmtId="0" fontId="21" fillId="3" borderId="0" xfId="0" applyFont="1" applyFill="1"/>
    <xf numFmtId="1" fontId="20" fillId="3" borderId="0" xfId="0" applyNumberFormat="1" applyFont="1" applyFill="1"/>
    <xf numFmtId="9" fontId="13" fillId="8" borderId="3" xfId="0" applyNumberFormat="1" applyFont="1" applyFill="1" applyBorder="1"/>
    <xf numFmtId="164" fontId="13" fillId="8" borderId="4" xfId="0" applyNumberFormat="1" applyFont="1" applyFill="1" applyBorder="1" applyAlignment="1">
      <alignment horizontal="center"/>
    </xf>
    <xf numFmtId="168" fontId="4" fillId="0" borderId="11" xfId="0" applyNumberFormat="1" applyFont="1" applyBorder="1"/>
    <xf numFmtId="168" fontId="4" fillId="0" borderId="17" xfId="0" applyNumberFormat="1" applyFont="1" applyBorder="1"/>
    <xf numFmtId="168" fontId="4" fillId="6" borderId="0" xfId="0" applyNumberFormat="1" applyFont="1" applyFill="1"/>
    <xf numFmtId="168" fontId="11" fillId="6" borderId="0" xfId="0" applyNumberFormat="1" applyFont="1" applyFill="1"/>
    <xf numFmtId="168" fontId="4" fillId="0" borderId="14" xfId="0" applyNumberFormat="1" applyFont="1" applyBorder="1"/>
    <xf numFmtId="168" fontId="4" fillId="0" borderId="3" xfId="0" applyNumberFormat="1" applyFont="1" applyBorder="1"/>
    <xf numFmtId="168" fontId="4" fillId="0" borderId="15" xfId="0" applyNumberFormat="1" applyFont="1" applyBorder="1"/>
    <xf numFmtId="9" fontId="16" fillId="9" borderId="13" xfId="0" applyNumberFormat="1" applyFont="1" applyFill="1" applyBorder="1"/>
    <xf numFmtId="9" fontId="16" fillId="9" borderId="4" xfId="0" applyNumberFormat="1" applyFont="1" applyFill="1" applyBorder="1"/>
    <xf numFmtId="9" fontId="16" fillId="8" borderId="3" xfId="0" applyNumberFormat="1" applyFont="1" applyFill="1" applyBorder="1"/>
    <xf numFmtId="164" fontId="16" fillId="8" borderId="4" xfId="0" applyNumberFormat="1" applyFont="1" applyFill="1" applyBorder="1" applyAlignment="1">
      <alignment horizontal="center"/>
    </xf>
    <xf numFmtId="169" fontId="11" fillId="0" borderId="0" xfId="0" applyNumberFormat="1" applyFont="1"/>
    <xf numFmtId="169" fontId="14" fillId="4" borderId="25" xfId="0" applyNumberFormat="1" applyFont="1" applyFill="1" applyBorder="1"/>
    <xf numFmtId="174" fontId="13" fillId="4" borderId="24" xfId="0" applyNumberFormat="1" applyFont="1" applyFill="1" applyBorder="1"/>
    <xf numFmtId="168" fontId="0" fillId="0" borderId="9" xfId="0" applyNumberFormat="1" applyBorder="1"/>
    <xf numFmtId="175" fontId="0" fillId="0" borderId="0" xfId="0" applyNumberFormat="1"/>
    <xf numFmtId="0" fontId="22" fillId="3" borderId="3" xfId="0" applyFont="1" applyFill="1" applyBorder="1"/>
    <xf numFmtId="176" fontId="11" fillId="4" borderId="26" xfId="0" applyNumberFormat="1" applyFont="1" applyFill="1" applyBorder="1" applyAlignment="1">
      <alignment horizontal="right"/>
    </xf>
    <xf numFmtId="174" fontId="11" fillId="4" borderId="24" xfId="0" applyNumberFormat="1" applyFont="1" applyFill="1" applyBorder="1" applyAlignment="1">
      <alignment horizontal="right"/>
    </xf>
    <xf numFmtId="174" fontId="11" fillId="4" borderId="25" xfId="0" applyNumberFormat="1" applyFont="1" applyFill="1" applyBorder="1" applyAlignment="1">
      <alignment horizontal="right"/>
    </xf>
    <xf numFmtId="0" fontId="11" fillId="0" borderId="0" xfId="0" applyFont="1"/>
    <xf numFmtId="170" fontId="5" fillId="3" borderId="0" xfId="0" applyNumberFormat="1" applyFont="1" applyFill="1"/>
    <xf numFmtId="175" fontId="5" fillId="3" borderId="0" xfId="0" applyNumberFormat="1" applyFont="1" applyFill="1"/>
    <xf numFmtId="177" fontId="5" fillId="3" borderId="0" xfId="0" applyNumberFormat="1" applyFont="1" applyFill="1"/>
    <xf numFmtId="14" fontId="20" fillId="0" borderId="0" xfId="0" applyNumberFormat="1" applyFont="1"/>
    <xf numFmtId="0" fontId="13" fillId="2" borderId="1" xfId="0" applyFont="1" applyFill="1" applyBorder="1"/>
    <xf numFmtId="0" fontId="11" fillId="2" borderId="10" xfId="0" applyFont="1" applyFill="1" applyBorder="1"/>
    <xf numFmtId="9" fontId="11" fillId="2" borderId="2" xfId="0" applyNumberFormat="1" applyFont="1" applyFill="1" applyBorder="1"/>
    <xf numFmtId="177" fontId="13" fillId="3" borderId="0" xfId="0" applyNumberFormat="1" applyFont="1" applyFill="1"/>
    <xf numFmtId="177" fontId="4" fillId="0" borderId="0" xfId="0" applyNumberFormat="1" applyFont="1"/>
    <xf numFmtId="170" fontId="11" fillId="0" borderId="0" xfId="0" applyNumberFormat="1" applyFont="1"/>
    <xf numFmtId="175" fontId="11" fillId="0" borderId="0" xfId="0" applyNumberFormat="1" applyFont="1"/>
    <xf numFmtId="9" fontId="4" fillId="6" borderId="0" xfId="0" applyNumberFormat="1" applyFont="1" applyFill="1"/>
    <xf numFmtId="0" fontId="4" fillId="0" borderId="0" xfId="0" applyFont="1" applyAlignment="1">
      <alignment horizontal="right"/>
    </xf>
    <xf numFmtId="168" fontId="20" fillId="0" borderId="0" xfId="0" applyNumberFormat="1" applyFont="1"/>
    <xf numFmtId="0" fontId="20" fillId="4" borderId="0" xfId="0" applyFont="1" applyFill="1"/>
    <xf numFmtId="0" fontId="5" fillId="4" borderId="0" xfId="0" applyFont="1" applyFill="1"/>
    <xf numFmtId="166" fontId="4" fillId="6" borderId="0" xfId="0" applyNumberFormat="1" applyFont="1" applyFill="1"/>
    <xf numFmtId="0" fontId="20" fillId="3" borderId="0" xfId="0" applyFont="1" applyFill="1"/>
    <xf numFmtId="4" fontId="5" fillId="3" borderId="0" xfId="0" applyNumberFormat="1" applyFont="1" applyFill="1"/>
    <xf numFmtId="0" fontId="13" fillId="4" borderId="0" xfId="0" applyFont="1" applyFill="1"/>
    <xf numFmtId="176" fontId="13" fillId="4" borderId="26" xfId="0" applyNumberFormat="1" applyFont="1" applyFill="1" applyBorder="1" applyAlignment="1">
      <alignment horizontal="right"/>
    </xf>
    <xf numFmtId="9" fontId="16" fillId="5" borderId="13" xfId="0" applyNumberFormat="1" applyFont="1" applyFill="1" applyBorder="1"/>
    <xf numFmtId="9" fontId="16" fillId="5" borderId="4" xfId="0" applyNumberFormat="1" applyFont="1" applyFill="1" applyBorder="1"/>
    <xf numFmtId="2" fontId="0" fillId="0" borderId="0" xfId="0" applyNumberFormat="1" applyAlignment="1">
      <alignment horizontal="right"/>
    </xf>
    <xf numFmtId="166" fontId="0" fillId="0" borderId="0" xfId="1" applyNumberFormat="1" applyFont="1"/>
    <xf numFmtId="9" fontId="24" fillId="5" borderId="0" xfId="0" applyNumberFormat="1" applyFont="1" applyFill="1"/>
    <xf numFmtId="164" fontId="5" fillId="0" borderId="0" xfId="0" applyNumberFormat="1" applyFont="1"/>
    <xf numFmtId="168" fontId="11" fillId="0" borderId="0" xfId="0" applyNumberFormat="1" applyFont="1" applyAlignment="1">
      <alignment horizontal="left" indent="4"/>
    </xf>
    <xf numFmtId="166" fontId="26" fillId="0" borderId="6" xfId="0" applyNumberFormat="1" applyFont="1" applyBorder="1"/>
    <xf numFmtId="165" fontId="26" fillId="0" borderId="6" xfId="0" applyNumberFormat="1" applyFont="1" applyBorder="1"/>
    <xf numFmtId="165" fontId="13" fillId="0" borderId="6" xfId="0" applyNumberFormat="1" applyFont="1" applyBorder="1"/>
    <xf numFmtId="173" fontId="28" fillId="2" borderId="9" xfId="0" applyNumberFormat="1" applyFont="1" applyFill="1" applyBorder="1" applyAlignment="1">
      <alignment horizontal="right"/>
    </xf>
    <xf numFmtId="165" fontId="5" fillId="3" borderId="0" xfId="0" applyNumberFormat="1" applyFont="1" applyFill="1"/>
    <xf numFmtId="168" fontId="29" fillId="0" borderId="0" xfId="0" applyNumberFormat="1" applyFont="1" applyAlignment="1">
      <alignment horizontal="right"/>
    </xf>
    <xf numFmtId="166" fontId="30" fillId="3" borderId="9" xfId="0" applyNumberFormat="1" applyFont="1" applyFill="1" applyBorder="1" applyAlignment="1">
      <alignment horizontal="right"/>
    </xf>
    <xf numFmtId="178" fontId="26" fillId="0" borderId="0" xfId="0" applyNumberFormat="1" applyFont="1" applyAlignment="1">
      <alignment horizontal="right"/>
    </xf>
    <xf numFmtId="0" fontId="0" fillId="3" borderId="0" xfId="0" applyFill="1"/>
    <xf numFmtId="0" fontId="0" fillId="2" borderId="28" xfId="0" applyFill="1" applyBorder="1"/>
    <xf numFmtId="171" fontId="26" fillId="2" borderId="27" xfId="0" applyNumberFormat="1" applyFont="1" applyFill="1" applyBorder="1"/>
    <xf numFmtId="171" fontId="26" fillId="2" borderId="28" xfId="0" applyNumberFormat="1" applyFont="1" applyFill="1" applyBorder="1"/>
    <xf numFmtId="165" fontId="26" fillId="0" borderId="0" xfId="0" applyNumberFormat="1" applyFont="1"/>
    <xf numFmtId="169" fontId="11" fillId="0" borderId="0" xfId="0" applyNumberFormat="1" applyFont="1" applyAlignment="1">
      <alignment horizontal="left" indent="1"/>
    </xf>
    <xf numFmtId="168" fontId="5" fillId="0" borderId="0" xfId="0" applyNumberFormat="1" applyFont="1"/>
    <xf numFmtId="168" fontId="26" fillId="0" borderId="0" xfId="0" applyNumberFormat="1" applyFont="1"/>
    <xf numFmtId="166" fontId="26" fillId="0" borderId="0" xfId="0" applyNumberFormat="1" applyFont="1"/>
    <xf numFmtId="179" fontId="11" fillId="0" borderId="9" xfId="0" applyNumberFormat="1" applyFont="1" applyBorder="1"/>
    <xf numFmtId="169" fontId="11" fillId="0" borderId="0" xfId="0" applyNumberFormat="1" applyFont="1" applyAlignment="1">
      <alignment horizontal="left"/>
    </xf>
    <xf numFmtId="166" fontId="31" fillId="3" borderId="9" xfId="0" applyNumberFormat="1" applyFont="1" applyFill="1" applyBorder="1" applyAlignment="1">
      <alignment horizontal="right"/>
    </xf>
    <xf numFmtId="166" fontId="5" fillId="0" borderId="0" xfId="0" applyNumberFormat="1" applyFont="1"/>
    <xf numFmtId="0" fontId="5" fillId="3" borderId="22" xfId="0" applyFont="1" applyFill="1" applyBorder="1"/>
    <xf numFmtId="1" fontId="14" fillId="3" borderId="22" xfId="0" applyNumberFormat="1" applyFont="1" applyFill="1" applyBorder="1"/>
    <xf numFmtId="166" fontId="13" fillId="2" borderId="1" xfId="0" applyNumberFormat="1" applyFont="1" applyFill="1" applyBorder="1"/>
    <xf numFmtId="0" fontId="3" fillId="4" borderId="0" xfId="0" applyFont="1" applyFill="1" applyAlignment="1">
      <alignment horizontal="center"/>
    </xf>
    <xf numFmtId="0" fontId="0" fillId="0" borderId="0" xfId="0"/>
    <xf numFmtId="0" fontId="25" fillId="0" borderId="0" xfId="0" applyFont="1" applyAlignment="1">
      <alignment horizontal="center"/>
    </xf>
    <xf numFmtId="0" fontId="13" fillId="10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5" fillId="0" borderId="0" xfId="0" applyFont="1"/>
    <xf numFmtId="0" fontId="13" fillId="10" borderId="0" xfId="0" applyFont="1" applyFill="1" applyAlignment="1">
      <alignment horizontal="center" vertical="center" textRotation="90"/>
    </xf>
  </cellXfs>
  <cellStyles count="3">
    <cellStyle name="Normal" xfId="0" builtinId="0"/>
    <cellStyle name="Normal 2" xfId="2" xr:uid="{C755180B-0F14-486E-B1DD-51E05F5991E6}"/>
    <cellStyle name="Percent" xfId="1" builtinId="5"/>
  </cellStyles>
  <dxfs count="0"/>
  <tableStyles count="0" defaultTableStyle="TableStyleMedium2" defaultPivotStyle="PivotStyleLight16"/>
  <colors>
    <mruColors>
      <color rgb="FF595959"/>
      <color rgb="FF375623"/>
      <color rgb="FF2E75B6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38100</xdr:rowOff>
        </xdr:from>
        <xdr:to>
          <xdr:col>7</xdr:col>
          <xdr:colOff>628650</xdr:colOff>
          <xdr:row>3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2</xdr:row>
          <xdr:rowOff>19050</xdr:rowOff>
        </xdr:from>
        <xdr:to>
          <xdr:col>9</xdr:col>
          <xdr:colOff>523875</xdr:colOff>
          <xdr:row>3</xdr:row>
          <xdr:rowOff>152400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</xdr:row>
          <xdr:rowOff>19050</xdr:rowOff>
        </xdr:from>
        <xdr:to>
          <xdr:col>12</xdr:col>
          <xdr:colOff>133350</xdr:colOff>
          <xdr:row>3</xdr:row>
          <xdr:rowOff>152400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2:T70"/>
  <sheetViews>
    <sheetView showGridLines="0" tabSelected="1" zoomScale="85" zoomScaleNormal="85" workbookViewId="0">
      <selection activeCell="B7" sqref="B7:R7"/>
    </sheetView>
  </sheetViews>
  <sheetFormatPr defaultRowHeight="12.75" x14ac:dyDescent="0.2"/>
  <cols>
    <col min="1" max="1" width="4" customWidth="1"/>
    <col min="2" max="2" width="47.42578125" customWidth="1"/>
    <col min="3" max="3" width="20.140625" customWidth="1"/>
    <col min="4" max="7" width="8.28515625" customWidth="1"/>
    <col min="8" max="8" width="9.85546875" customWidth="1"/>
    <col min="9" max="13" width="8.7109375" customWidth="1"/>
    <col min="14" max="17" width="8.28515625" customWidth="1"/>
  </cols>
  <sheetData>
    <row r="2" spans="1:20" ht="14.1" customHeight="1" x14ac:dyDescent="0.2"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</row>
    <row r="3" spans="1:20" ht="13.5" customHeight="1" x14ac:dyDescent="0.25">
      <c r="A3" s="1"/>
      <c r="B3" s="3" t="s">
        <v>0</v>
      </c>
      <c r="C3" s="137" t="s">
        <v>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20" ht="13.5" customHeight="1" x14ac:dyDescent="0.2">
      <c r="A4" s="1"/>
      <c r="B4" s="1"/>
      <c r="C4" s="4">
        <f>IF(C3="Scenario Base", 1, IF(C3="Scenario Ribasso", 2, 3))</f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20" ht="13.5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20" ht="13.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20" ht="13.5" customHeight="1" x14ac:dyDescent="0.25">
      <c r="A7" s="1"/>
      <c r="B7" s="241" t="s">
        <v>2</v>
      </c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</row>
    <row r="8" spans="1:20" ht="13.5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20" ht="13.5" customHeight="1" x14ac:dyDescent="0.25">
      <c r="A9" s="1"/>
      <c r="B9" s="2" t="s">
        <v>199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20" ht="13.5" customHeight="1" x14ac:dyDescent="0.25">
      <c r="A10" s="1"/>
      <c r="B10" s="5" t="str">
        <f>$C$3</f>
        <v>Scenario Base</v>
      </c>
      <c r="C10" s="1"/>
      <c r="D10" s="6">
        <v>2021</v>
      </c>
      <c r="E10" s="6">
        <v>2022</v>
      </c>
      <c r="F10" s="6">
        <v>2023</v>
      </c>
      <c r="G10" s="6">
        <v>2024</v>
      </c>
      <c r="H10" s="6">
        <v>2025</v>
      </c>
      <c r="I10" s="6">
        <v>2026</v>
      </c>
      <c r="J10" s="6">
        <v>2027</v>
      </c>
      <c r="K10" s="6">
        <v>2028</v>
      </c>
      <c r="L10" s="6">
        <v>2029</v>
      </c>
      <c r="M10" s="6">
        <v>2030</v>
      </c>
      <c r="N10" s="6">
        <v>2031</v>
      </c>
      <c r="O10" s="6">
        <v>2032</v>
      </c>
      <c r="P10" s="6">
        <v>2033</v>
      </c>
      <c r="Q10" s="6">
        <v>2034</v>
      </c>
      <c r="R10" s="6">
        <v>2035</v>
      </c>
    </row>
    <row r="11" spans="1:20" ht="13.5" customHeight="1" x14ac:dyDescent="0.2">
      <c r="A11" s="1"/>
      <c r="B11" s="1" t="s">
        <v>3</v>
      </c>
      <c r="C11" s="1"/>
      <c r="D11" s="1"/>
      <c r="E11" s="1"/>
      <c r="F11" s="1"/>
      <c r="G11" s="1"/>
      <c r="H11" s="7">
        <f t="shared" ref="H11:R11" si="0">CHOOSE($C4, H12, H13, H14)</f>
        <v>0.04</v>
      </c>
      <c r="I11" s="7">
        <f t="shared" si="0"/>
        <v>0.04</v>
      </c>
      <c r="J11" s="7">
        <f t="shared" si="0"/>
        <v>0.04</v>
      </c>
      <c r="K11" s="7">
        <f t="shared" si="0"/>
        <v>3.5000000000000003E-2</v>
      </c>
      <c r="L11" s="7">
        <f t="shared" si="0"/>
        <v>3.5000000000000003E-2</v>
      </c>
      <c r="M11" s="7">
        <f t="shared" si="0"/>
        <v>0.03</v>
      </c>
      <c r="N11" s="7">
        <f t="shared" si="0"/>
        <v>0.03</v>
      </c>
      <c r="O11" s="7">
        <f t="shared" si="0"/>
        <v>2.5000000000000001E-2</v>
      </c>
      <c r="P11" s="7">
        <f t="shared" si="0"/>
        <v>2.5000000000000001E-2</v>
      </c>
      <c r="Q11" s="7">
        <f t="shared" si="0"/>
        <v>0.02</v>
      </c>
      <c r="R11" s="7">
        <f t="shared" si="0"/>
        <v>0.02</v>
      </c>
    </row>
    <row r="12" spans="1:20" ht="13.5" customHeight="1" x14ac:dyDescent="0.2">
      <c r="A12" s="1"/>
      <c r="B12" s="1" t="s">
        <v>4</v>
      </c>
      <c r="C12" s="1"/>
      <c r="D12" s="8"/>
      <c r="E12" s="8"/>
      <c r="F12" s="8"/>
      <c r="G12" s="8"/>
      <c r="H12" s="9">
        <v>0.04</v>
      </c>
      <c r="I12" s="9">
        <v>0.04</v>
      </c>
      <c r="J12" s="9">
        <v>0.04</v>
      </c>
      <c r="K12" s="9">
        <v>3.5000000000000003E-2</v>
      </c>
      <c r="L12" s="9">
        <v>3.5000000000000003E-2</v>
      </c>
      <c r="M12" s="9">
        <v>0.03</v>
      </c>
      <c r="N12" s="9">
        <v>0.03</v>
      </c>
      <c r="O12" s="9">
        <v>2.5000000000000001E-2</v>
      </c>
      <c r="P12" s="9">
        <v>2.5000000000000001E-2</v>
      </c>
      <c r="Q12" s="9">
        <v>0.02</v>
      </c>
      <c r="R12" s="9">
        <v>0.02</v>
      </c>
    </row>
    <row r="13" spans="1:20" ht="13.5" customHeight="1" x14ac:dyDescent="0.2">
      <c r="A13" s="1"/>
      <c r="B13" s="1" t="s">
        <v>5</v>
      </c>
      <c r="C13" s="1"/>
      <c r="D13" s="8"/>
      <c r="E13" s="8"/>
      <c r="F13" s="8"/>
      <c r="G13" s="8"/>
      <c r="H13" s="9">
        <v>0.02</v>
      </c>
      <c r="I13" s="9">
        <v>0.02</v>
      </c>
      <c r="J13" s="9">
        <v>0.03</v>
      </c>
      <c r="K13" s="9">
        <v>0.01</v>
      </c>
      <c r="L13" s="9">
        <v>5.0000000000000001E-3</v>
      </c>
      <c r="M13" s="9">
        <v>-0.01</v>
      </c>
      <c r="N13" s="9">
        <v>-0.01</v>
      </c>
      <c r="O13" s="9">
        <v>5.0000000000000001E-3</v>
      </c>
      <c r="P13" s="9">
        <v>5.0000000000000001E-3</v>
      </c>
      <c r="Q13" s="9">
        <v>0.01</v>
      </c>
      <c r="R13" s="9">
        <v>0.01</v>
      </c>
    </row>
    <row r="14" spans="1:20" ht="13.5" customHeight="1" x14ac:dyDescent="0.2">
      <c r="A14" s="1"/>
      <c r="B14" s="1" t="s">
        <v>6</v>
      </c>
      <c r="C14" s="1"/>
      <c r="D14" s="8"/>
      <c r="E14" s="8"/>
      <c r="F14" s="8"/>
      <c r="G14" s="8"/>
      <c r="H14" s="9">
        <v>5.5E-2</v>
      </c>
      <c r="I14" s="9">
        <v>0.06</v>
      </c>
      <c r="J14" s="9">
        <v>6.5000000000000002E-2</v>
      </c>
      <c r="K14" s="9">
        <v>0.06</v>
      </c>
      <c r="L14" s="9">
        <v>7.0000000000000007E-2</v>
      </c>
      <c r="M14" s="9">
        <v>0.06</v>
      </c>
      <c r="N14" s="9">
        <v>0.06</v>
      </c>
      <c r="O14" s="9">
        <v>0.05</v>
      </c>
      <c r="P14" s="9">
        <v>0.05</v>
      </c>
      <c r="Q14" s="9">
        <v>0.05</v>
      </c>
      <c r="R14" s="9">
        <v>0.05</v>
      </c>
    </row>
    <row r="15" spans="1:20" ht="13.5" customHeight="1" x14ac:dyDescent="0.2">
      <c r="A15" s="1"/>
      <c r="B15" s="1"/>
      <c r="C15" s="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</row>
    <row r="16" spans="1:20" ht="13.5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ht="13.5" customHeight="1" x14ac:dyDescent="0.25">
      <c r="A17" s="1"/>
      <c r="B17" s="2" t="s">
        <v>200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ht="13.5" customHeight="1" x14ac:dyDescent="0.25">
      <c r="A18" s="1"/>
      <c r="B18" s="5" t="str">
        <f>$C$3</f>
        <v>Scenario Base</v>
      </c>
      <c r="C18" s="1"/>
      <c r="D18" s="6">
        <v>2021</v>
      </c>
      <c r="E18" s="6">
        <v>2022</v>
      </c>
      <c r="F18" s="6">
        <v>2023</v>
      </c>
      <c r="G18" s="6">
        <v>2024</v>
      </c>
      <c r="H18" s="6">
        <v>2025</v>
      </c>
      <c r="I18" s="6">
        <v>2026</v>
      </c>
      <c r="J18" s="6">
        <v>2027</v>
      </c>
      <c r="K18" s="6">
        <v>2028</v>
      </c>
      <c r="L18" s="6">
        <v>2029</v>
      </c>
      <c r="M18" s="6">
        <v>2030</v>
      </c>
      <c r="N18" s="6">
        <v>2031</v>
      </c>
      <c r="O18" s="6">
        <v>2032</v>
      </c>
      <c r="P18" s="6">
        <v>2033</v>
      </c>
      <c r="Q18" s="6">
        <v>2034</v>
      </c>
      <c r="R18" s="6">
        <v>2035</v>
      </c>
    </row>
    <row r="19" spans="1:18" ht="13.5" customHeight="1" x14ac:dyDescent="0.2">
      <c r="A19" s="1"/>
      <c r="B19" s="1" t="s">
        <v>3</v>
      </c>
      <c r="C19" s="1"/>
      <c r="D19" s="1"/>
      <c r="E19" s="1"/>
      <c r="F19" s="1"/>
      <c r="G19" s="1"/>
      <c r="H19" s="7">
        <f t="shared" ref="H19:R19" si="1">CHOOSE($C4, H20, H21, H22)</f>
        <v>0.03</v>
      </c>
      <c r="I19" s="7">
        <f t="shared" si="1"/>
        <v>0.03</v>
      </c>
      <c r="J19" s="7">
        <f t="shared" si="1"/>
        <v>0.03</v>
      </c>
      <c r="K19" s="7">
        <f t="shared" si="1"/>
        <v>2.5000000000000001E-2</v>
      </c>
      <c r="L19" s="7">
        <f t="shared" si="1"/>
        <v>2.5000000000000001E-2</v>
      </c>
      <c r="M19" s="7">
        <f t="shared" si="1"/>
        <v>2.5000000000000001E-2</v>
      </c>
      <c r="N19" s="7">
        <f t="shared" si="1"/>
        <v>2.5000000000000001E-2</v>
      </c>
      <c r="O19" s="7">
        <f t="shared" si="1"/>
        <v>2.5000000000000001E-2</v>
      </c>
      <c r="P19" s="7">
        <f t="shared" si="1"/>
        <v>2.5000000000000001E-2</v>
      </c>
      <c r="Q19" s="7">
        <f t="shared" si="1"/>
        <v>2.5000000000000001E-2</v>
      </c>
      <c r="R19" s="7">
        <f t="shared" si="1"/>
        <v>2.5000000000000001E-2</v>
      </c>
    </row>
    <row r="20" spans="1:18" ht="13.5" customHeight="1" x14ac:dyDescent="0.2">
      <c r="A20" s="1"/>
      <c r="B20" s="1" t="s">
        <v>4</v>
      </c>
      <c r="C20" s="1"/>
      <c r="D20" s="8"/>
      <c r="E20" s="8"/>
      <c r="F20" s="8"/>
      <c r="G20" s="8"/>
      <c r="H20" s="9">
        <v>0.03</v>
      </c>
      <c r="I20" s="9">
        <v>0.03</v>
      </c>
      <c r="J20" s="9">
        <v>0.03</v>
      </c>
      <c r="K20" s="9">
        <v>2.5000000000000001E-2</v>
      </c>
      <c r="L20" s="9">
        <v>2.5000000000000001E-2</v>
      </c>
      <c r="M20" s="9">
        <v>2.5000000000000001E-2</v>
      </c>
      <c r="N20" s="9">
        <v>2.5000000000000001E-2</v>
      </c>
      <c r="O20" s="9">
        <v>2.5000000000000001E-2</v>
      </c>
      <c r="P20" s="9">
        <v>2.5000000000000001E-2</v>
      </c>
      <c r="Q20" s="9">
        <v>2.5000000000000001E-2</v>
      </c>
      <c r="R20" s="9">
        <v>2.5000000000000001E-2</v>
      </c>
    </row>
    <row r="21" spans="1:18" ht="13.5" customHeight="1" x14ac:dyDescent="0.2">
      <c r="A21" s="1"/>
      <c r="B21" s="1" t="s">
        <v>5</v>
      </c>
      <c r="C21" s="1"/>
      <c r="D21" s="8"/>
      <c r="E21" s="8"/>
      <c r="F21" s="8"/>
      <c r="G21" s="8"/>
      <c r="H21" s="9">
        <v>1.4999999999999999E-2</v>
      </c>
      <c r="I21" s="9">
        <v>1.4999999999999999E-2</v>
      </c>
      <c r="J21" s="9">
        <v>1.4999999999999999E-2</v>
      </c>
      <c r="K21" s="9">
        <v>0.01</v>
      </c>
      <c r="L21" s="9">
        <v>5.0000000000000001E-3</v>
      </c>
      <c r="M21" s="9">
        <v>0.01</v>
      </c>
      <c r="N21" s="9">
        <v>0.01</v>
      </c>
      <c r="O21" s="9">
        <v>0.01</v>
      </c>
      <c r="P21" s="9">
        <v>5.0000000000000001E-3</v>
      </c>
      <c r="Q21" s="9">
        <v>1.4999999999999999E-2</v>
      </c>
      <c r="R21" s="9">
        <v>1.4999999999999999E-2</v>
      </c>
    </row>
    <row r="22" spans="1:18" ht="13.5" customHeight="1" x14ac:dyDescent="0.2">
      <c r="A22" s="1"/>
      <c r="B22" s="1" t="s">
        <v>6</v>
      </c>
      <c r="C22" s="1"/>
      <c r="D22" s="8"/>
      <c r="E22" s="8"/>
      <c r="F22" s="8"/>
      <c r="G22" s="8"/>
      <c r="H22" s="9">
        <v>4.4999999999999998E-2</v>
      </c>
      <c r="I22" s="9">
        <v>4.4999999999999998E-2</v>
      </c>
      <c r="J22" s="9">
        <v>4.4999999999999998E-2</v>
      </c>
      <c r="K22" s="9">
        <v>0.04</v>
      </c>
      <c r="L22" s="9">
        <v>0.04</v>
      </c>
      <c r="M22" s="9">
        <v>0.04</v>
      </c>
      <c r="N22" s="9">
        <v>0.04</v>
      </c>
      <c r="O22" s="9">
        <v>0.04</v>
      </c>
      <c r="P22" s="9">
        <v>0.04</v>
      </c>
      <c r="Q22" s="9">
        <v>0.04</v>
      </c>
      <c r="R22" s="9">
        <v>0.04</v>
      </c>
    </row>
    <row r="23" spans="1:18" ht="13.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ht="13.5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ht="13.5" customHeight="1" x14ac:dyDescent="0.25">
      <c r="A25" s="1"/>
      <c r="B25" s="2" t="s">
        <v>201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ht="13.5" customHeight="1" x14ac:dyDescent="0.25">
      <c r="A26" s="1"/>
      <c r="B26" s="5" t="str">
        <f>$C$3</f>
        <v>Scenario Base</v>
      </c>
      <c r="C26" s="1"/>
      <c r="D26" s="6">
        <v>2021</v>
      </c>
      <c r="E26" s="6">
        <v>2022</v>
      </c>
      <c r="F26" s="6">
        <v>2023</v>
      </c>
      <c r="G26" s="6">
        <v>2024</v>
      </c>
      <c r="H26" s="6">
        <v>2025</v>
      </c>
      <c r="I26" s="6">
        <v>2026</v>
      </c>
      <c r="J26" s="6">
        <v>2027</v>
      </c>
      <c r="K26" s="6">
        <v>2028</v>
      </c>
      <c r="L26" s="6">
        <v>2029</v>
      </c>
      <c r="M26" s="6">
        <v>2030</v>
      </c>
      <c r="N26" s="6">
        <v>2031</v>
      </c>
      <c r="O26" s="6">
        <v>2032</v>
      </c>
      <c r="P26" s="6">
        <v>2033</v>
      </c>
      <c r="Q26" s="6">
        <v>2034</v>
      </c>
      <c r="R26" s="6">
        <v>2035</v>
      </c>
    </row>
    <row r="27" spans="1:18" ht="13.5" customHeight="1" x14ac:dyDescent="0.2">
      <c r="A27" s="1"/>
      <c r="B27" s="1" t="s">
        <v>3</v>
      </c>
      <c r="C27" s="1"/>
      <c r="D27" s="1"/>
      <c r="E27" s="1"/>
      <c r="F27" s="1"/>
      <c r="G27" s="1"/>
      <c r="H27" s="7">
        <f t="shared" ref="H27:R27" si="2">CHOOSE($C4, H28, H29, H30)</f>
        <v>4.4999999999999998E-2</v>
      </c>
      <c r="I27" s="7">
        <f t="shared" si="2"/>
        <v>4.4999999999999998E-2</v>
      </c>
      <c r="J27" s="7">
        <f t="shared" si="2"/>
        <v>4.4999999999999998E-2</v>
      </c>
      <c r="K27" s="7">
        <f t="shared" si="2"/>
        <v>4.4999999999999998E-2</v>
      </c>
      <c r="L27" s="7">
        <f t="shared" si="2"/>
        <v>4.4999999999999998E-2</v>
      </c>
      <c r="M27" s="7">
        <f t="shared" si="2"/>
        <v>4.4999999999999998E-2</v>
      </c>
      <c r="N27" s="7">
        <f t="shared" si="2"/>
        <v>4.4999999999999998E-2</v>
      </c>
      <c r="O27" s="7">
        <f t="shared" si="2"/>
        <v>4.4999999999999998E-2</v>
      </c>
      <c r="P27" s="7">
        <f t="shared" si="2"/>
        <v>4.4999999999999998E-2</v>
      </c>
      <c r="Q27" s="7">
        <f t="shared" si="2"/>
        <v>4.4999999999999998E-2</v>
      </c>
      <c r="R27" s="7">
        <f t="shared" si="2"/>
        <v>4.4999999999999998E-2</v>
      </c>
    </row>
    <row r="28" spans="1:18" ht="13.5" customHeight="1" x14ac:dyDescent="0.2">
      <c r="A28" s="1"/>
      <c r="B28" s="1" t="s">
        <v>4</v>
      </c>
      <c r="C28" s="1"/>
      <c r="D28" s="8"/>
      <c r="E28" s="8"/>
      <c r="F28" s="8"/>
      <c r="G28" s="8"/>
      <c r="H28" s="9">
        <v>4.4999999999999998E-2</v>
      </c>
      <c r="I28" s="9">
        <v>4.4999999999999998E-2</v>
      </c>
      <c r="J28" s="9">
        <v>4.4999999999999998E-2</v>
      </c>
      <c r="K28" s="9">
        <v>4.4999999999999998E-2</v>
      </c>
      <c r="L28" s="9">
        <v>4.4999999999999998E-2</v>
      </c>
      <c r="M28" s="9">
        <v>4.4999999999999998E-2</v>
      </c>
      <c r="N28" s="9">
        <v>4.4999999999999998E-2</v>
      </c>
      <c r="O28" s="9">
        <v>4.4999999999999998E-2</v>
      </c>
      <c r="P28" s="9">
        <v>4.4999999999999998E-2</v>
      </c>
      <c r="Q28" s="9">
        <v>4.4999999999999998E-2</v>
      </c>
      <c r="R28" s="9">
        <v>4.4999999999999998E-2</v>
      </c>
    </row>
    <row r="29" spans="1:18" ht="13.5" customHeight="1" x14ac:dyDescent="0.2">
      <c r="A29" s="1"/>
      <c r="B29" s="1" t="s">
        <v>5</v>
      </c>
      <c r="C29" s="1"/>
      <c r="D29" s="8"/>
      <c r="E29" s="8"/>
      <c r="F29" s="8"/>
      <c r="G29" s="8"/>
      <c r="H29" s="9">
        <v>2.5000000000000001E-2</v>
      </c>
      <c r="I29" s="9">
        <v>2.5000000000000001E-2</v>
      </c>
      <c r="J29" s="9">
        <v>2.5000000000000001E-2</v>
      </c>
      <c r="K29" s="9">
        <v>2.5000000000000001E-2</v>
      </c>
      <c r="L29" s="9">
        <v>2.5000000000000001E-2</v>
      </c>
      <c r="M29" s="9">
        <v>2.5000000000000001E-2</v>
      </c>
      <c r="N29" s="9">
        <v>2.5000000000000001E-2</v>
      </c>
      <c r="O29" s="9">
        <v>2.5000000000000001E-2</v>
      </c>
      <c r="P29" s="9">
        <v>2.5000000000000001E-2</v>
      </c>
      <c r="Q29" s="9">
        <v>2.5000000000000001E-2</v>
      </c>
      <c r="R29" s="9">
        <v>2.5000000000000001E-2</v>
      </c>
    </row>
    <row r="30" spans="1:18" ht="13.5" customHeight="1" x14ac:dyDescent="0.2">
      <c r="A30" s="1"/>
      <c r="B30" s="1" t="s">
        <v>6</v>
      </c>
      <c r="C30" s="1"/>
      <c r="D30" s="8"/>
      <c r="E30" s="8"/>
      <c r="F30" s="8"/>
      <c r="G30" s="8"/>
      <c r="H30" s="9">
        <v>6.5000000000000002E-2</v>
      </c>
      <c r="I30" s="9">
        <v>6.5000000000000002E-2</v>
      </c>
      <c r="J30" s="9">
        <v>6.5000000000000002E-2</v>
      </c>
      <c r="K30" s="9">
        <v>5.5E-2</v>
      </c>
      <c r="L30" s="9">
        <v>5.5E-2</v>
      </c>
      <c r="M30" s="9">
        <v>5.2999999999999999E-2</v>
      </c>
      <c r="N30" s="9">
        <v>5.1999999999999998E-2</v>
      </c>
      <c r="O30" s="9">
        <v>5.5E-2</v>
      </c>
      <c r="P30" s="9">
        <v>5.7000000000000002E-2</v>
      </c>
      <c r="Q30" s="9">
        <v>5.5E-2</v>
      </c>
      <c r="R30" s="9">
        <v>5.3999999999999999E-2</v>
      </c>
    </row>
    <row r="31" spans="1:18" ht="13.5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ht="13.5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ht="13.5" customHeight="1" x14ac:dyDescent="0.25">
      <c r="A33" s="1"/>
      <c r="B33" s="2" t="s">
        <v>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ht="13.5" customHeight="1" x14ac:dyDescent="0.25">
      <c r="A34" s="1"/>
      <c r="B34" s="5" t="str">
        <f>$C$3</f>
        <v>Scenario Base</v>
      </c>
      <c r="C34" s="1"/>
      <c r="D34" s="6">
        <v>2021</v>
      </c>
      <c r="E34" s="6">
        <v>2022</v>
      </c>
      <c r="F34" s="6">
        <v>2023</v>
      </c>
      <c r="G34" s="6">
        <v>2024</v>
      </c>
      <c r="H34" s="6">
        <v>2025</v>
      </c>
      <c r="I34" s="6">
        <v>2026</v>
      </c>
      <c r="J34" s="6">
        <v>2027</v>
      </c>
      <c r="K34" s="6">
        <v>2028</v>
      </c>
      <c r="L34" s="6">
        <v>2029</v>
      </c>
      <c r="M34" s="6">
        <v>2030</v>
      </c>
      <c r="N34" s="6">
        <v>2031</v>
      </c>
      <c r="O34" s="6">
        <v>2032</v>
      </c>
      <c r="P34" s="6">
        <v>2033</v>
      </c>
      <c r="Q34" s="6">
        <v>2034</v>
      </c>
      <c r="R34" s="6">
        <v>2035</v>
      </c>
    </row>
    <row r="35" spans="1:18" ht="13.5" customHeight="1" x14ac:dyDescent="0.2">
      <c r="A35" s="1"/>
      <c r="B35" s="1" t="s">
        <v>3</v>
      </c>
      <c r="C35" s="1"/>
      <c r="D35" s="1"/>
      <c r="E35" s="1"/>
      <c r="F35" s="1"/>
      <c r="G35" s="1"/>
      <c r="H35" s="7">
        <f t="shared" ref="H35:R35" si="3">CHOOSE($C4, H36, H37, H38)</f>
        <v>0.23499999999999999</v>
      </c>
      <c r="I35" s="7">
        <f t="shared" si="3"/>
        <v>0.23499999999999999</v>
      </c>
      <c r="J35" s="7">
        <f t="shared" si="3"/>
        <v>0.23499999999999999</v>
      </c>
      <c r="K35" s="7">
        <f t="shared" si="3"/>
        <v>0.23499999999999999</v>
      </c>
      <c r="L35" s="7">
        <f t="shared" si="3"/>
        <v>0.23499999999999999</v>
      </c>
      <c r="M35" s="7">
        <f t="shared" si="3"/>
        <v>0.23499999999999999</v>
      </c>
      <c r="N35" s="7">
        <f t="shared" si="3"/>
        <v>0.23499999999999999</v>
      </c>
      <c r="O35" s="7">
        <f t="shared" si="3"/>
        <v>0.23499999999999999</v>
      </c>
      <c r="P35" s="7">
        <f t="shared" si="3"/>
        <v>0.23499999999999999</v>
      </c>
      <c r="Q35" s="7">
        <f t="shared" si="3"/>
        <v>0.23499999999999999</v>
      </c>
      <c r="R35" s="7">
        <f t="shared" si="3"/>
        <v>0.23499999999999999</v>
      </c>
    </row>
    <row r="36" spans="1:18" ht="13.5" customHeight="1" x14ac:dyDescent="0.2">
      <c r="A36" s="1"/>
      <c r="B36" s="1" t="s">
        <v>4</v>
      </c>
      <c r="C36" s="1"/>
      <c r="D36" s="8"/>
      <c r="E36" s="8"/>
      <c r="F36" s="8"/>
      <c r="G36" s="8"/>
      <c r="H36" s="9">
        <v>0.23499999999999999</v>
      </c>
      <c r="I36" s="9">
        <v>0.23499999999999999</v>
      </c>
      <c r="J36" s="9">
        <v>0.23499999999999999</v>
      </c>
      <c r="K36" s="9">
        <v>0.23499999999999999</v>
      </c>
      <c r="L36" s="9">
        <v>0.23499999999999999</v>
      </c>
      <c r="M36" s="9">
        <v>0.23499999999999999</v>
      </c>
      <c r="N36" s="9">
        <v>0.23499999999999999</v>
      </c>
      <c r="O36" s="9">
        <v>0.23499999999999999</v>
      </c>
      <c r="P36" s="9">
        <v>0.23499999999999999</v>
      </c>
      <c r="Q36" s="9">
        <v>0.23499999999999999</v>
      </c>
      <c r="R36" s="9">
        <v>0.23499999999999999</v>
      </c>
    </row>
    <row r="37" spans="1:18" ht="13.5" customHeight="1" x14ac:dyDescent="0.2">
      <c r="A37" s="1"/>
      <c r="B37" s="1" t="s">
        <v>5</v>
      </c>
      <c r="C37" s="1"/>
      <c r="D37" s="8"/>
      <c r="E37" s="8"/>
      <c r="F37" s="8"/>
      <c r="G37" s="8"/>
      <c r="H37" s="9">
        <v>0.25</v>
      </c>
      <c r="I37" s="9">
        <v>0.25</v>
      </c>
      <c r="J37" s="9">
        <v>0.25</v>
      </c>
      <c r="K37" s="9">
        <v>0.25</v>
      </c>
      <c r="L37" s="9">
        <v>0.25</v>
      </c>
      <c r="M37" s="9">
        <v>0.25</v>
      </c>
      <c r="N37" s="9">
        <v>0.25</v>
      </c>
      <c r="O37" s="9">
        <v>0.25</v>
      </c>
      <c r="P37" s="9">
        <v>0.25</v>
      </c>
      <c r="Q37" s="9">
        <v>0.25</v>
      </c>
      <c r="R37" s="9">
        <v>0.25</v>
      </c>
    </row>
    <row r="38" spans="1:18" ht="13.5" customHeight="1" x14ac:dyDescent="0.2">
      <c r="A38" s="1"/>
      <c r="B38" s="1" t="s">
        <v>6</v>
      </c>
      <c r="C38" s="1"/>
      <c r="D38" s="8"/>
      <c r="E38" s="8"/>
      <c r="F38" s="8"/>
      <c r="G38" s="8"/>
      <c r="H38" s="9">
        <v>0.22500000000000001</v>
      </c>
      <c r="I38" s="9">
        <v>0.22500000000000001</v>
      </c>
      <c r="J38" s="9">
        <v>0.22500000000000001</v>
      </c>
      <c r="K38" s="9">
        <v>0.22500000000000001</v>
      </c>
      <c r="L38" s="9">
        <v>0.22500000000000001</v>
      </c>
      <c r="M38" s="9">
        <v>0.22500000000000001</v>
      </c>
      <c r="N38" s="9">
        <v>0.22500000000000001</v>
      </c>
      <c r="O38" s="9">
        <v>0.22500000000000001</v>
      </c>
      <c r="P38" s="9">
        <v>0.22500000000000001</v>
      </c>
      <c r="Q38" s="9">
        <v>0.22500000000000001</v>
      </c>
      <c r="R38" s="9">
        <v>0.22500000000000001</v>
      </c>
    </row>
    <row r="39" spans="1:18" ht="13.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ht="13.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ht="13.5" customHeight="1" x14ac:dyDescent="0.25">
      <c r="A41" s="1"/>
      <c r="B41" s="2" t="s">
        <v>183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ht="13.5" customHeight="1" x14ac:dyDescent="0.25">
      <c r="A42" s="1"/>
      <c r="B42" s="5" t="str">
        <f>$C$3</f>
        <v>Scenario Base</v>
      </c>
      <c r="C42" s="1"/>
      <c r="D42" s="6">
        <v>2021</v>
      </c>
      <c r="E42" s="6">
        <v>2022</v>
      </c>
      <c r="F42" s="6">
        <v>2023</v>
      </c>
      <c r="G42" s="6">
        <v>2024</v>
      </c>
      <c r="H42" s="6">
        <v>2025</v>
      </c>
      <c r="I42" s="6">
        <v>2026</v>
      </c>
      <c r="J42" s="6">
        <v>2027</v>
      </c>
      <c r="K42" s="6">
        <v>2028</v>
      </c>
      <c r="L42" s="6">
        <v>2029</v>
      </c>
      <c r="M42" s="6">
        <v>2030</v>
      </c>
      <c r="N42" s="6">
        <v>2031</v>
      </c>
      <c r="O42" s="6">
        <v>2032</v>
      </c>
      <c r="P42" s="6">
        <v>2033</v>
      </c>
      <c r="Q42" s="6">
        <v>2034</v>
      </c>
      <c r="R42" s="6">
        <v>2035</v>
      </c>
    </row>
    <row r="43" spans="1:18" ht="13.5" customHeight="1" x14ac:dyDescent="0.2">
      <c r="A43" s="1"/>
      <c r="B43" s="1" t="s">
        <v>3</v>
      </c>
      <c r="C43" s="1"/>
      <c r="D43" s="1"/>
      <c r="E43" s="1"/>
      <c r="F43" s="1"/>
      <c r="G43" s="1"/>
      <c r="H43" s="7">
        <f t="shared" ref="H43:R43" si="4">CHOOSE($C4, H44, H45, H46)</f>
        <v>0.3</v>
      </c>
      <c r="I43" s="7">
        <f t="shared" si="4"/>
        <v>0.3</v>
      </c>
      <c r="J43" s="7">
        <f t="shared" si="4"/>
        <v>0.3</v>
      </c>
      <c r="K43" s="7">
        <f t="shared" si="4"/>
        <v>0.3</v>
      </c>
      <c r="L43" s="7">
        <f t="shared" si="4"/>
        <v>0.3</v>
      </c>
      <c r="M43" s="7">
        <f t="shared" si="4"/>
        <v>0.3</v>
      </c>
      <c r="N43" s="7">
        <f t="shared" si="4"/>
        <v>0.3</v>
      </c>
      <c r="O43" s="7">
        <f t="shared" si="4"/>
        <v>0.3</v>
      </c>
      <c r="P43" s="7">
        <f t="shared" si="4"/>
        <v>0.3</v>
      </c>
      <c r="Q43" s="7">
        <f t="shared" si="4"/>
        <v>0.3</v>
      </c>
      <c r="R43" s="7">
        <f t="shared" si="4"/>
        <v>0.3</v>
      </c>
    </row>
    <row r="44" spans="1:18" ht="13.5" customHeight="1" x14ac:dyDescent="0.2">
      <c r="A44" s="1"/>
      <c r="B44" s="1" t="s">
        <v>4</v>
      </c>
      <c r="C44" s="1"/>
      <c r="D44" s="8"/>
      <c r="E44" s="8"/>
      <c r="F44" s="8"/>
      <c r="G44" s="8"/>
      <c r="H44" s="9">
        <v>0.3</v>
      </c>
      <c r="I44" s="9">
        <v>0.3</v>
      </c>
      <c r="J44" s="9">
        <v>0.3</v>
      </c>
      <c r="K44" s="9">
        <v>0.3</v>
      </c>
      <c r="L44" s="9">
        <v>0.3</v>
      </c>
      <c r="M44" s="9">
        <v>0.3</v>
      </c>
      <c r="N44" s="9">
        <v>0.3</v>
      </c>
      <c r="O44" s="9">
        <v>0.3</v>
      </c>
      <c r="P44" s="9">
        <v>0.3</v>
      </c>
      <c r="Q44" s="9">
        <v>0.3</v>
      </c>
      <c r="R44" s="9">
        <v>0.3</v>
      </c>
    </row>
    <row r="45" spans="1:18" ht="13.5" customHeight="1" x14ac:dyDescent="0.2">
      <c r="A45" s="1"/>
      <c r="B45" s="1" t="s">
        <v>5</v>
      </c>
      <c r="C45" s="1"/>
      <c r="D45" s="8"/>
      <c r="E45" s="8"/>
      <c r="F45" s="8"/>
      <c r="G45" s="8"/>
      <c r="H45" s="9">
        <v>0.31</v>
      </c>
      <c r="I45" s="9">
        <v>0.31</v>
      </c>
      <c r="J45" s="9">
        <v>0.31</v>
      </c>
      <c r="K45" s="9">
        <v>0.31</v>
      </c>
      <c r="L45" s="9">
        <v>0.31</v>
      </c>
      <c r="M45" s="9">
        <v>0.31</v>
      </c>
      <c r="N45" s="9">
        <v>0.31</v>
      </c>
      <c r="O45" s="9">
        <v>0.31</v>
      </c>
      <c r="P45" s="9">
        <v>0.31</v>
      </c>
      <c r="Q45" s="9">
        <v>0.31</v>
      </c>
      <c r="R45" s="9">
        <v>0.31</v>
      </c>
    </row>
    <row r="46" spans="1:18" ht="13.5" customHeight="1" x14ac:dyDescent="0.2">
      <c r="A46" s="1"/>
      <c r="B46" s="1" t="s">
        <v>6</v>
      </c>
      <c r="C46" s="1"/>
      <c r="D46" s="8"/>
      <c r="E46" s="8"/>
      <c r="F46" s="8"/>
      <c r="G46" s="8"/>
      <c r="H46" s="9">
        <v>0.28000000000000003</v>
      </c>
      <c r="I46" s="9">
        <v>0.28000000000000003</v>
      </c>
      <c r="J46" s="9">
        <v>0.28000000000000003</v>
      </c>
      <c r="K46" s="9">
        <v>0.28000000000000003</v>
      </c>
      <c r="L46" s="9">
        <v>0.28000000000000003</v>
      </c>
      <c r="M46" s="9">
        <v>0.28000000000000003</v>
      </c>
      <c r="N46" s="9">
        <v>0.28000000000000003</v>
      </c>
      <c r="O46" s="9">
        <v>0.28000000000000003</v>
      </c>
      <c r="P46" s="9">
        <v>0.28000000000000003</v>
      </c>
      <c r="Q46" s="9">
        <v>0.28000000000000003</v>
      </c>
      <c r="R46" s="9">
        <v>0.28000000000000003</v>
      </c>
    </row>
    <row r="47" spans="1:18" ht="13.5" customHeight="1" x14ac:dyDescent="0.2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</row>
    <row r="48" spans="1:18" ht="13.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3.5" customHeight="1" x14ac:dyDescent="0.25">
      <c r="A49" s="1"/>
      <c r="B49" s="2" t="s">
        <v>182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3.5" customHeight="1" x14ac:dyDescent="0.25">
      <c r="A50" s="1"/>
      <c r="B50" s="5" t="str">
        <f>$C$3</f>
        <v>Scenario Base</v>
      </c>
      <c r="C50" s="1"/>
      <c r="D50" s="6">
        <v>2021</v>
      </c>
      <c r="E50" s="6">
        <v>2022</v>
      </c>
      <c r="F50" s="6">
        <v>2023</v>
      </c>
      <c r="G50" s="6">
        <v>2024</v>
      </c>
      <c r="H50" s="6">
        <v>2025</v>
      </c>
      <c r="I50" s="6">
        <v>2026</v>
      </c>
      <c r="J50" s="6">
        <v>2027</v>
      </c>
      <c r="K50" s="6">
        <v>2028</v>
      </c>
      <c r="L50" s="6">
        <v>2029</v>
      </c>
      <c r="M50" s="6">
        <v>2030</v>
      </c>
      <c r="N50" s="6">
        <v>2031</v>
      </c>
      <c r="O50" s="6">
        <v>2032</v>
      </c>
      <c r="P50" s="6">
        <v>2033</v>
      </c>
      <c r="Q50" s="6">
        <v>2034</v>
      </c>
      <c r="R50" s="6">
        <v>2035</v>
      </c>
    </row>
    <row r="51" spans="1:18" ht="13.5" customHeight="1" x14ac:dyDescent="0.2">
      <c r="A51" s="1"/>
      <c r="B51" s="1" t="s">
        <v>3</v>
      </c>
      <c r="C51" s="1"/>
      <c r="D51" s="1"/>
      <c r="E51" s="1"/>
      <c r="F51" s="1"/>
      <c r="G51" s="1"/>
      <c r="H51" s="7">
        <f t="shared" ref="H51:R51" si="5">CHOOSE($C4, H52, H53, H54)</f>
        <v>0.37</v>
      </c>
      <c r="I51" s="7">
        <f t="shared" si="5"/>
        <v>0.37</v>
      </c>
      <c r="J51" s="7">
        <f t="shared" si="5"/>
        <v>0.37</v>
      </c>
      <c r="K51" s="7">
        <f t="shared" si="5"/>
        <v>0.37</v>
      </c>
      <c r="L51" s="7">
        <f t="shared" si="5"/>
        <v>0.37</v>
      </c>
      <c r="M51" s="7">
        <f t="shared" si="5"/>
        <v>0.37</v>
      </c>
      <c r="N51" s="7">
        <f t="shared" si="5"/>
        <v>0.37</v>
      </c>
      <c r="O51" s="7">
        <f t="shared" si="5"/>
        <v>0.37</v>
      </c>
      <c r="P51" s="7">
        <f t="shared" si="5"/>
        <v>0.37</v>
      </c>
      <c r="Q51" s="7">
        <f t="shared" si="5"/>
        <v>0.37</v>
      </c>
      <c r="R51" s="7">
        <f t="shared" si="5"/>
        <v>0.37</v>
      </c>
    </row>
    <row r="52" spans="1:18" ht="13.5" customHeight="1" x14ac:dyDescent="0.2">
      <c r="A52" s="1"/>
      <c r="B52" s="1" t="s">
        <v>4</v>
      </c>
      <c r="C52" s="1"/>
      <c r="D52" s="8"/>
      <c r="E52" s="8"/>
      <c r="F52" s="8"/>
      <c r="G52" s="8"/>
      <c r="H52" s="9">
        <v>0.37</v>
      </c>
      <c r="I52" s="9">
        <v>0.37</v>
      </c>
      <c r="J52" s="9">
        <v>0.37</v>
      </c>
      <c r="K52" s="9">
        <v>0.37</v>
      </c>
      <c r="L52" s="9">
        <v>0.37</v>
      </c>
      <c r="M52" s="9">
        <v>0.37</v>
      </c>
      <c r="N52" s="9">
        <v>0.37</v>
      </c>
      <c r="O52" s="9">
        <v>0.37</v>
      </c>
      <c r="P52" s="9">
        <v>0.37</v>
      </c>
      <c r="Q52" s="9">
        <v>0.37</v>
      </c>
      <c r="R52" s="9">
        <v>0.37</v>
      </c>
    </row>
    <row r="53" spans="1:18" ht="13.5" customHeight="1" x14ac:dyDescent="0.2">
      <c r="A53" s="1"/>
      <c r="B53" s="1" t="s">
        <v>5</v>
      </c>
      <c r="C53" s="1"/>
      <c r="D53" s="8"/>
      <c r="E53" s="8"/>
      <c r="F53" s="8"/>
      <c r="G53" s="8"/>
      <c r="H53" s="9">
        <v>0.39</v>
      </c>
      <c r="I53" s="9">
        <v>0.39</v>
      </c>
      <c r="J53" s="9">
        <v>0.39</v>
      </c>
      <c r="K53" s="9">
        <v>0.39</v>
      </c>
      <c r="L53" s="9">
        <v>0.39</v>
      </c>
      <c r="M53" s="9">
        <v>0.39</v>
      </c>
      <c r="N53" s="9">
        <v>0.39</v>
      </c>
      <c r="O53" s="9">
        <v>0.39</v>
      </c>
      <c r="P53" s="9">
        <v>0.39</v>
      </c>
      <c r="Q53" s="9">
        <v>0.39</v>
      </c>
      <c r="R53" s="9">
        <v>0.39</v>
      </c>
    </row>
    <row r="54" spans="1:18" ht="13.5" customHeight="1" x14ac:dyDescent="0.2">
      <c r="A54" s="1"/>
      <c r="B54" s="1" t="s">
        <v>6</v>
      </c>
      <c r="C54" s="1"/>
      <c r="D54" s="8"/>
      <c r="E54" s="8"/>
      <c r="F54" s="8"/>
      <c r="G54" s="8"/>
      <c r="H54" s="9">
        <v>0.35</v>
      </c>
      <c r="I54" s="9">
        <v>0.35</v>
      </c>
      <c r="J54" s="9">
        <v>0.35</v>
      </c>
      <c r="K54" s="9">
        <v>0.35</v>
      </c>
      <c r="L54" s="9">
        <v>0.35</v>
      </c>
      <c r="M54" s="9">
        <v>0.35</v>
      </c>
      <c r="N54" s="9">
        <v>0.35</v>
      </c>
      <c r="O54" s="9">
        <v>0.35</v>
      </c>
      <c r="P54" s="9">
        <v>0.35</v>
      </c>
      <c r="Q54" s="9">
        <v>0.35</v>
      </c>
      <c r="R54" s="9">
        <v>0.35</v>
      </c>
    </row>
    <row r="55" spans="1:18" ht="13.5" customHeight="1" x14ac:dyDescent="0.2">
      <c r="A55" s="1"/>
      <c r="B55" s="1"/>
      <c r="C55" s="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</row>
    <row r="56" spans="1:18" ht="13.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3.5" customHeight="1" x14ac:dyDescent="0.25">
      <c r="A57" s="1"/>
      <c r="B57" s="2" t="s">
        <v>8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3.5" customHeight="1" x14ac:dyDescent="0.25">
      <c r="A58" s="1"/>
      <c r="B58" s="5" t="str">
        <f>$C$3</f>
        <v>Scenario Base</v>
      </c>
      <c r="C58" s="1"/>
      <c r="D58" s="6">
        <v>2021</v>
      </c>
      <c r="E58" s="6">
        <v>2022</v>
      </c>
      <c r="F58" s="6">
        <v>2023</v>
      </c>
      <c r="G58" s="6">
        <v>2024</v>
      </c>
      <c r="H58" s="6">
        <v>2025</v>
      </c>
      <c r="I58" s="6">
        <v>2026</v>
      </c>
      <c r="J58" s="6">
        <v>2027</v>
      </c>
      <c r="K58" s="6">
        <v>2028</v>
      </c>
      <c r="L58" s="6">
        <v>2029</v>
      </c>
      <c r="M58" s="6">
        <v>2030</v>
      </c>
      <c r="N58" s="6">
        <v>2031</v>
      </c>
      <c r="O58" s="6">
        <v>2032</v>
      </c>
      <c r="P58" s="6">
        <v>2033</v>
      </c>
      <c r="Q58" s="6">
        <v>2034</v>
      </c>
      <c r="R58" s="6">
        <v>2035</v>
      </c>
    </row>
    <row r="59" spans="1:18" ht="13.5" customHeight="1" x14ac:dyDescent="0.2">
      <c r="A59" s="1"/>
      <c r="B59" s="1" t="s">
        <v>3</v>
      </c>
      <c r="C59" s="1"/>
      <c r="D59" s="1"/>
      <c r="E59" s="1"/>
      <c r="F59" s="1"/>
      <c r="G59" s="1"/>
      <c r="H59" s="7">
        <f t="shared" ref="H59:R59" si="6">CHOOSE($C4, H60, H61, H62)</f>
        <v>1.4999999999999999E-2</v>
      </c>
      <c r="I59" s="7">
        <f t="shared" si="6"/>
        <v>2.5000000000000001E-2</v>
      </c>
      <c r="J59" s="7">
        <f t="shared" si="6"/>
        <v>2.5000000000000001E-2</v>
      </c>
      <c r="K59" s="7">
        <f t="shared" si="6"/>
        <v>1.4999999999999999E-2</v>
      </c>
      <c r="L59" s="7">
        <f t="shared" si="6"/>
        <v>0.02</v>
      </c>
      <c r="M59" s="7">
        <f t="shared" si="6"/>
        <v>1.7000000000000001E-2</v>
      </c>
      <c r="N59" s="7">
        <f t="shared" si="6"/>
        <v>1.7000000000000001E-2</v>
      </c>
      <c r="O59" s="7">
        <f t="shared" si="6"/>
        <v>1.4999999999999999E-2</v>
      </c>
      <c r="P59" s="7">
        <f t="shared" si="6"/>
        <v>1.4999999999999999E-2</v>
      </c>
      <c r="Q59" s="7">
        <f t="shared" si="6"/>
        <v>1.4999999999999999E-2</v>
      </c>
      <c r="R59" s="7">
        <f t="shared" si="6"/>
        <v>1.4999999999999999E-2</v>
      </c>
    </row>
    <row r="60" spans="1:18" ht="13.5" customHeight="1" x14ac:dyDescent="0.2">
      <c r="A60" s="1"/>
      <c r="B60" s="1" t="s">
        <v>4</v>
      </c>
      <c r="C60" s="1"/>
      <c r="D60" s="8"/>
      <c r="E60" s="8"/>
      <c r="F60" s="8"/>
      <c r="G60" s="8"/>
      <c r="H60" s="9">
        <v>1.4999999999999999E-2</v>
      </c>
      <c r="I60" s="9">
        <v>2.5000000000000001E-2</v>
      </c>
      <c r="J60" s="9">
        <v>2.5000000000000001E-2</v>
      </c>
      <c r="K60" s="9">
        <v>1.4999999999999999E-2</v>
      </c>
      <c r="L60" s="9">
        <v>0.02</v>
      </c>
      <c r="M60" s="9">
        <v>1.7000000000000001E-2</v>
      </c>
      <c r="N60" s="9">
        <v>1.7000000000000001E-2</v>
      </c>
      <c r="O60" s="9">
        <v>1.4999999999999999E-2</v>
      </c>
      <c r="P60" s="9">
        <v>1.4999999999999999E-2</v>
      </c>
      <c r="Q60" s="9">
        <v>1.4999999999999999E-2</v>
      </c>
      <c r="R60" s="9">
        <v>1.4999999999999999E-2</v>
      </c>
    </row>
    <row r="61" spans="1:18" ht="13.5" customHeight="1" x14ac:dyDescent="0.2">
      <c r="A61" s="1"/>
      <c r="B61" s="1" t="s">
        <v>5</v>
      </c>
      <c r="C61" s="1"/>
      <c r="D61" s="8"/>
      <c r="E61" s="8"/>
      <c r="F61" s="8"/>
      <c r="G61" s="8"/>
      <c r="H61" s="9">
        <v>0.01</v>
      </c>
      <c r="I61" s="9">
        <v>0.01</v>
      </c>
      <c r="J61" s="9">
        <v>0.01</v>
      </c>
      <c r="K61" s="9">
        <v>0.01</v>
      </c>
      <c r="L61" s="9">
        <v>0.01</v>
      </c>
      <c r="M61" s="9">
        <v>0.01</v>
      </c>
      <c r="N61" s="9">
        <v>0.01</v>
      </c>
      <c r="O61" s="9">
        <v>0.01</v>
      </c>
      <c r="P61" s="9">
        <v>0.01</v>
      </c>
      <c r="Q61" s="9">
        <v>0.01</v>
      </c>
      <c r="R61" s="9">
        <v>0.01</v>
      </c>
    </row>
    <row r="62" spans="1:18" ht="13.5" customHeight="1" x14ac:dyDescent="0.2">
      <c r="A62" s="1"/>
      <c r="B62" s="1" t="s">
        <v>6</v>
      </c>
      <c r="C62" s="1"/>
      <c r="D62" s="8"/>
      <c r="E62" s="8"/>
      <c r="F62" s="8"/>
      <c r="G62" s="8"/>
      <c r="H62" s="9">
        <v>0.02</v>
      </c>
      <c r="I62" s="9">
        <v>0.02</v>
      </c>
      <c r="J62" s="9">
        <v>0.02</v>
      </c>
      <c r="K62" s="9">
        <v>0.02</v>
      </c>
      <c r="L62" s="9">
        <v>0.02</v>
      </c>
      <c r="M62" s="9">
        <v>0.02</v>
      </c>
      <c r="N62" s="9">
        <v>0.02</v>
      </c>
      <c r="O62" s="9">
        <v>0.02</v>
      </c>
      <c r="P62" s="9">
        <v>0.02</v>
      </c>
      <c r="Q62" s="9">
        <v>0.02</v>
      </c>
      <c r="R62" s="9">
        <v>0.02</v>
      </c>
    </row>
    <row r="63" spans="1:18" ht="13.5" customHeight="1" x14ac:dyDescent="0.2">
      <c r="A63" s="1"/>
      <c r="B63" s="1"/>
      <c r="C63" s="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</row>
    <row r="65" spans="2:18" ht="15" x14ac:dyDescent="0.25">
      <c r="B65" s="2" t="s">
        <v>204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2:18" ht="15" x14ac:dyDescent="0.25">
      <c r="B66" s="5" t="str">
        <f>$C$3</f>
        <v>Scenario Base</v>
      </c>
      <c r="C66" s="1"/>
      <c r="D66" s="6">
        <v>2021</v>
      </c>
      <c r="E66" s="6">
        <v>2022</v>
      </c>
      <c r="F66" s="6">
        <v>2023</v>
      </c>
      <c r="G66" s="6">
        <v>2024</v>
      </c>
      <c r="H66" s="6">
        <v>2025</v>
      </c>
      <c r="I66" s="6">
        <v>2026</v>
      </c>
      <c r="J66" s="6">
        <v>2027</v>
      </c>
      <c r="K66" s="6">
        <v>2028</v>
      </c>
      <c r="L66" s="6">
        <v>2029</v>
      </c>
      <c r="M66" s="6">
        <v>2030</v>
      </c>
      <c r="N66" s="6">
        <v>2031</v>
      </c>
      <c r="O66" s="6">
        <v>2032</v>
      </c>
      <c r="P66" s="6">
        <v>2033</v>
      </c>
      <c r="Q66" s="6">
        <v>2034</v>
      </c>
      <c r="R66" s="6">
        <v>2035</v>
      </c>
    </row>
    <row r="67" spans="2:18" ht="14.25" x14ac:dyDescent="0.2">
      <c r="B67" s="1" t="s">
        <v>3</v>
      </c>
      <c r="C67" s="1"/>
      <c r="D67" s="1"/>
      <c r="E67" s="1"/>
      <c r="F67" s="1"/>
      <c r="G67" s="1"/>
      <c r="H67" s="7">
        <f t="shared" ref="H67:R67" si="7">CHOOSE($C4, H68, H69, H70)</f>
        <v>1.6E-2</v>
      </c>
      <c r="I67" s="7">
        <f t="shared" si="7"/>
        <v>1.7000000000000001E-2</v>
      </c>
      <c r="J67" s="7">
        <f t="shared" si="7"/>
        <v>1.7999999999999999E-2</v>
      </c>
      <c r="K67" s="7">
        <f t="shared" si="7"/>
        <v>1.9E-2</v>
      </c>
      <c r="L67" s="7">
        <f t="shared" si="7"/>
        <v>0.02</v>
      </c>
      <c r="M67" s="7">
        <f t="shared" si="7"/>
        <v>0.02</v>
      </c>
      <c r="N67" s="7">
        <f t="shared" si="7"/>
        <v>0.02</v>
      </c>
      <c r="O67" s="7">
        <f t="shared" si="7"/>
        <v>0.02</v>
      </c>
      <c r="P67" s="7">
        <f t="shared" si="7"/>
        <v>0.02</v>
      </c>
      <c r="Q67" s="7">
        <f t="shared" si="7"/>
        <v>0.02</v>
      </c>
      <c r="R67" s="7">
        <f t="shared" si="7"/>
        <v>0.02</v>
      </c>
    </row>
    <row r="68" spans="2:18" ht="14.25" x14ac:dyDescent="0.2">
      <c r="B68" s="1" t="s">
        <v>4</v>
      </c>
      <c r="C68" s="1"/>
      <c r="D68" s="8"/>
      <c r="E68" s="8"/>
      <c r="F68" s="8"/>
      <c r="G68" s="8"/>
      <c r="H68" s="9">
        <v>1.6E-2</v>
      </c>
      <c r="I68" s="9">
        <v>1.7000000000000001E-2</v>
      </c>
      <c r="J68" s="9">
        <v>1.7999999999999999E-2</v>
      </c>
      <c r="K68" s="9">
        <v>1.9E-2</v>
      </c>
      <c r="L68" s="9">
        <v>0.02</v>
      </c>
      <c r="M68" s="9">
        <v>0.02</v>
      </c>
      <c r="N68" s="9">
        <v>0.02</v>
      </c>
      <c r="O68" s="9">
        <v>0.02</v>
      </c>
      <c r="P68" s="9">
        <v>0.02</v>
      </c>
      <c r="Q68" s="9">
        <v>0.02</v>
      </c>
      <c r="R68" s="9">
        <v>0.02</v>
      </c>
    </row>
    <row r="69" spans="2:18" ht="14.25" x14ac:dyDescent="0.2">
      <c r="B69" s="1" t="s">
        <v>5</v>
      </c>
      <c r="C69" s="1"/>
      <c r="D69" s="8"/>
      <c r="E69" s="8"/>
      <c r="F69" s="8"/>
      <c r="G69" s="8"/>
      <c r="H69" s="9">
        <v>0.01</v>
      </c>
      <c r="I69" s="9">
        <v>0.01</v>
      </c>
      <c r="J69" s="9">
        <v>0.01</v>
      </c>
      <c r="K69" s="9">
        <v>0.01</v>
      </c>
      <c r="L69" s="9">
        <v>0.01</v>
      </c>
      <c r="M69" s="9">
        <v>0.01</v>
      </c>
      <c r="N69" s="9">
        <v>0.01</v>
      </c>
      <c r="O69" s="9">
        <v>0.01</v>
      </c>
      <c r="P69" s="9">
        <v>0.01</v>
      </c>
      <c r="Q69" s="9">
        <v>0.01</v>
      </c>
      <c r="R69" s="9">
        <v>0.01</v>
      </c>
    </row>
    <row r="70" spans="2:18" ht="14.25" x14ac:dyDescent="0.2">
      <c r="B70" s="1" t="s">
        <v>6</v>
      </c>
      <c r="C70" s="1"/>
      <c r="D70" s="8"/>
      <c r="E70" s="8"/>
      <c r="F70" s="8"/>
      <c r="G70" s="8"/>
      <c r="H70" s="9">
        <v>0.02</v>
      </c>
      <c r="I70" s="9">
        <v>0.02</v>
      </c>
      <c r="J70" s="9">
        <v>0.02</v>
      </c>
      <c r="K70" s="9">
        <v>0.02</v>
      </c>
      <c r="L70" s="9">
        <v>0.02</v>
      </c>
      <c r="M70" s="9">
        <v>0.02</v>
      </c>
      <c r="N70" s="9">
        <v>0.02</v>
      </c>
      <c r="O70" s="9">
        <v>0.02</v>
      </c>
      <c r="P70" s="9">
        <v>0.02</v>
      </c>
      <c r="Q70" s="9">
        <v>0.02</v>
      </c>
      <c r="R70" s="9">
        <v>0.02</v>
      </c>
    </row>
  </sheetData>
  <mergeCells count="5">
    <mergeCell ref="B7:R7"/>
    <mergeCell ref="I2:K2"/>
    <mergeCell ref="L2:N2"/>
    <mergeCell ref="O2:Q2"/>
    <mergeCell ref="R2:T2"/>
  </mergeCells>
  <dataValidations count="1">
    <dataValidation type="list" showInputMessage="1" showErrorMessage="1" sqref="C3" xr:uid="{00000000-0002-0000-0000-000000000000}">
      <formula1>"Base Case,Downside Case,Upside Case"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" r:id="rId3" name="Button 38">
              <controlPr defaultSize="0" print="0" autoFill="0" autoPict="0" macro="[0]!ToggleBilancio">
                <anchor moveWithCells="1">
                  <from>
                    <xdr:col>6</xdr:col>
                    <xdr:colOff>200025</xdr:colOff>
                    <xdr:row>2</xdr:row>
                    <xdr:rowOff>38100</xdr:rowOff>
                  </from>
                  <to>
                    <xdr:col>7</xdr:col>
                    <xdr:colOff>628650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ToggleValutazione">
                <anchor moveWithCells="1">
                  <from>
                    <xdr:col>7</xdr:col>
                    <xdr:colOff>619125</xdr:colOff>
                    <xdr:row>2</xdr:row>
                    <xdr:rowOff>19050</xdr:rowOff>
                  </from>
                  <to>
                    <xdr:col>9</xdr:col>
                    <xdr:colOff>523875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" name="Button 40">
              <controlPr defaultSize="0" print="0" autoFill="0" autoPict="0" macro="[0]!MostraTutto">
                <anchor moveWithCells="1">
                  <from>
                    <xdr:col>9</xdr:col>
                    <xdr:colOff>533400</xdr:colOff>
                    <xdr:row>2</xdr:row>
                    <xdr:rowOff>19050</xdr:rowOff>
                  </from>
                  <to>
                    <xdr:col>12</xdr:col>
                    <xdr:colOff>133350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Q100"/>
  <sheetViews>
    <sheetView showGridLines="0" zoomScaleNormal="100" workbookViewId="0">
      <pane xSplit="2" ySplit="5" topLeftCell="C54" activePane="bottomRight" state="frozen"/>
      <selection pane="topRight" activeCell="C1" sqref="C1"/>
      <selection pane="bottomLeft" activeCell="A6" sqref="A6"/>
      <selection pane="bottomRight" activeCell="C83" sqref="C83"/>
    </sheetView>
  </sheetViews>
  <sheetFormatPr defaultColWidth="9.140625" defaultRowHeight="12.75" x14ac:dyDescent="0.2"/>
  <cols>
    <col min="1" max="1" width="3.42578125" style="11" customWidth="1"/>
    <col min="2" max="2" width="54.5703125" style="11" customWidth="1"/>
    <col min="3" max="3" width="8.7109375" style="11" customWidth="1"/>
    <col min="4" max="4" width="11.5703125" style="11" customWidth="1"/>
    <col min="5" max="5" width="9.5703125" style="11" customWidth="1"/>
    <col min="6" max="6" width="9.28515625" style="11" customWidth="1"/>
    <col min="7" max="8" width="9.140625" style="11" customWidth="1"/>
    <col min="9" max="16384" width="9.140625" style="11"/>
  </cols>
  <sheetData>
    <row r="2" spans="1:17" x14ac:dyDescent="0.2">
      <c r="B2" s="48" t="s">
        <v>9</v>
      </c>
    </row>
    <row r="4" spans="1:17" x14ac:dyDescent="0.2">
      <c r="B4" s="49" t="s">
        <v>10</v>
      </c>
      <c r="C4" s="50" t="s">
        <v>175</v>
      </c>
      <c r="D4" s="50" t="s">
        <v>11</v>
      </c>
      <c r="E4" s="50" t="s">
        <v>12</v>
      </c>
      <c r="F4" s="51" t="s">
        <v>13</v>
      </c>
      <c r="G4" s="50" t="s">
        <v>176</v>
      </c>
      <c r="H4" s="50" t="s">
        <v>14</v>
      </c>
      <c r="I4" s="50" t="s">
        <v>15</v>
      </c>
      <c r="J4" s="50" t="s">
        <v>16</v>
      </c>
      <c r="K4" s="50" t="s">
        <v>17</v>
      </c>
      <c r="L4" s="50" t="s">
        <v>18</v>
      </c>
      <c r="M4" s="50" t="s">
        <v>19</v>
      </c>
      <c r="N4" s="50" t="s">
        <v>20</v>
      </c>
      <c r="O4" s="50" t="s">
        <v>21</v>
      </c>
      <c r="P4" s="52" t="s">
        <v>22</v>
      </c>
      <c r="Q4" s="53" t="s">
        <v>23</v>
      </c>
    </row>
    <row r="5" spans="1:17" ht="6" customHeight="1" x14ac:dyDescent="0.2">
      <c r="F5" s="12"/>
    </row>
    <row r="6" spans="1:17" ht="6" customHeight="1" x14ac:dyDescent="0.2">
      <c r="F6" s="12"/>
    </row>
    <row r="7" spans="1:17" x14ac:dyDescent="0.2">
      <c r="B7" s="54" t="s">
        <v>184</v>
      </c>
      <c r="C7" s="54">
        <f>+C10+C13</f>
        <v>31.804323</v>
      </c>
      <c r="D7" s="54">
        <f t="shared" ref="D7:Q7" si="0">+D10+D13</f>
        <v>21.386578999999998</v>
      </c>
      <c r="E7" s="54">
        <f t="shared" si="0"/>
        <v>28.966426000000002</v>
      </c>
      <c r="F7" s="54">
        <f t="shared" si="0"/>
        <v>31.708925999999998</v>
      </c>
      <c r="G7" s="54">
        <f t="shared" si="0"/>
        <v>35.34990516786867</v>
      </c>
      <c r="H7" s="54">
        <f t="shared" si="0"/>
        <v>39.41514426217357</v>
      </c>
      <c r="I7" s="54">
        <f t="shared" si="0"/>
        <v>43.94788585232353</v>
      </c>
      <c r="J7" s="54">
        <f t="shared" si="0"/>
        <v>48.562413866817501</v>
      </c>
      <c r="K7" s="54">
        <f t="shared" si="0"/>
        <v>53.661467322833339</v>
      </c>
      <c r="L7" s="54">
        <f t="shared" si="0"/>
        <v>59.027614055116672</v>
      </c>
      <c r="M7" s="54">
        <f t="shared" si="0"/>
        <v>64.930375460628341</v>
      </c>
      <c r="N7" s="54">
        <f t="shared" si="0"/>
        <v>71.098761129388038</v>
      </c>
      <c r="O7" s="54">
        <f t="shared" si="0"/>
        <v>77.8531434366799</v>
      </c>
      <c r="P7" s="54">
        <f t="shared" si="0"/>
        <v>84.859926345981108</v>
      </c>
      <c r="Q7" s="54">
        <f t="shared" si="0"/>
        <v>92.49731971711941</v>
      </c>
    </row>
    <row r="8" spans="1:17" x14ac:dyDescent="0.2">
      <c r="A8" s="56"/>
      <c r="B8" s="56" t="s">
        <v>24</v>
      </c>
      <c r="D8" s="59">
        <f t="shared" ref="D8" si="1">D7/C7-1</f>
        <v>-0.32755748330187695</v>
      </c>
      <c r="E8" s="59">
        <f t="shared" ref="E8" si="2">E7/D7-1</f>
        <v>0.35442073274084684</v>
      </c>
      <c r="F8" s="59">
        <f t="shared" ref="F8" si="3">F7/E7-1</f>
        <v>9.4678577191400715E-2</v>
      </c>
      <c r="G8" s="59">
        <f t="shared" ref="G8" si="4">G7/F7-1</f>
        <v>0.11482505487157368</v>
      </c>
      <c r="H8" s="59">
        <f t="shared" ref="H8" si="5">H7/G7-1</f>
        <v>0.11499999999999999</v>
      </c>
      <c r="I8" s="59">
        <f t="shared" ref="I8" si="6">I7/H7-1</f>
        <v>0.11499999999999999</v>
      </c>
      <c r="J8" s="59">
        <f t="shared" ref="J8" si="7">J7/I7-1</f>
        <v>0.10499999999999998</v>
      </c>
      <c r="K8" s="59">
        <f t="shared" ref="K8" si="8">K7/J7-1</f>
        <v>0.10499999999999998</v>
      </c>
      <c r="L8" s="59">
        <f t="shared" ref="L8" si="9">L7/K7-1</f>
        <v>0.10000000000000009</v>
      </c>
      <c r="M8" s="59">
        <f t="shared" ref="M8" si="10">M7/L7-1</f>
        <v>0.10000000000000009</v>
      </c>
      <c r="N8" s="59">
        <f t="shared" ref="N8" si="11">N7/M7-1</f>
        <v>9.4999999999999973E-2</v>
      </c>
      <c r="O8" s="59">
        <f t="shared" ref="O8" si="12">O7/N7-1</f>
        <v>9.4999999999999973E-2</v>
      </c>
      <c r="P8" s="59">
        <f t="shared" ref="P8" si="13">P7/O7-1</f>
        <v>9.0000000000000302E-2</v>
      </c>
      <c r="Q8" s="59">
        <f t="shared" ref="Q8" si="14">Q7/P7-1</f>
        <v>9.000000000000008E-2</v>
      </c>
    </row>
    <row r="9" spans="1:17" x14ac:dyDescent="0.2">
      <c r="D9" s="59"/>
      <c r="E9" s="59"/>
      <c r="F9" s="60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</row>
    <row r="10" spans="1:17" x14ac:dyDescent="0.2">
      <c r="B10" s="61" t="s">
        <v>177</v>
      </c>
      <c r="C10" s="63">
        <v>31.607717000000001</v>
      </c>
      <c r="D10" s="63">
        <v>21.272113999999998</v>
      </c>
      <c r="E10" s="63">
        <v>28.823692000000001</v>
      </c>
      <c r="F10" s="64">
        <v>31.311738999999999</v>
      </c>
      <c r="G10" s="54">
        <f>F10*(1+(Assumptions!H11+Assumptions!H19+Assumptions!H27))</f>
        <v>34.912588984999999</v>
      </c>
      <c r="H10" s="54">
        <f>G10*(1+(Assumptions!I11+Assumptions!I19+Assumptions!I27))</f>
        <v>38.927536718275</v>
      </c>
      <c r="I10" s="54">
        <f>H10*(1+(Assumptions!J11+Assumptions!J19+Assumptions!J27))</f>
        <v>43.404203440876628</v>
      </c>
      <c r="J10" s="54">
        <f>I10*(1+(Assumptions!K11+Assumptions!K19+Assumptions!K27))</f>
        <v>47.961644802168671</v>
      </c>
      <c r="K10" s="54">
        <f>J10*(1+(Assumptions!L11+Assumptions!L19+Assumptions!L27))</f>
        <v>52.997617506396381</v>
      </c>
      <c r="L10" s="54">
        <f>K10*(1+(Assumptions!M11+Assumptions!M19+Assumptions!M27))</f>
        <v>58.29737925703602</v>
      </c>
      <c r="M10" s="54">
        <f>L10*(1+(Assumptions!N11+Assumptions!N19+Assumptions!N27))</f>
        <v>64.127117182739624</v>
      </c>
      <c r="N10" s="54">
        <f>M10*(1+(Assumptions!O11+Assumptions!O19+Assumptions!O27))</f>
        <v>70.219193315099886</v>
      </c>
      <c r="O10" s="54">
        <f>N10*(1+(Assumptions!P11+Assumptions!P19+Assumptions!P27))</f>
        <v>76.890016680034378</v>
      </c>
      <c r="P10" s="54">
        <f>O10*(1+(Assumptions!Q11+Assumptions!Q19+Assumptions!Q27))</f>
        <v>83.810118181237485</v>
      </c>
      <c r="Q10" s="54">
        <f>P10*(1+(Assumptions!R11+Assumptions!R19+Assumptions!R27))</f>
        <v>91.353028817548861</v>
      </c>
    </row>
    <row r="11" spans="1:17" x14ac:dyDescent="0.2">
      <c r="B11" s="65" t="s">
        <v>24</v>
      </c>
      <c r="C11" s="56"/>
      <c r="D11" s="57">
        <f t="shared" ref="D11:Q11" si="15">D10/C10-1</f>
        <v>-0.32699618893702453</v>
      </c>
      <c r="E11" s="57">
        <f t="shared" si="15"/>
        <v>0.35499894368749629</v>
      </c>
      <c r="F11" s="58">
        <f t="shared" si="15"/>
        <v>8.6319511046676345E-2</v>
      </c>
      <c r="G11" s="58">
        <f t="shared" si="15"/>
        <v>0.11499999999999999</v>
      </c>
      <c r="H11" s="58">
        <f t="shared" si="15"/>
        <v>0.11499999999999999</v>
      </c>
      <c r="I11" s="58">
        <f t="shared" si="15"/>
        <v>0.11499999999999999</v>
      </c>
      <c r="J11" s="58">
        <f t="shared" si="15"/>
        <v>0.10499999999999998</v>
      </c>
      <c r="K11" s="58">
        <f t="shared" si="15"/>
        <v>0.10499999999999998</v>
      </c>
      <c r="L11" s="58">
        <f t="shared" si="15"/>
        <v>0.10000000000000009</v>
      </c>
      <c r="M11" s="58">
        <f t="shared" si="15"/>
        <v>0.10000000000000009</v>
      </c>
      <c r="N11" s="58">
        <f t="shared" si="15"/>
        <v>9.4999999999999973E-2</v>
      </c>
      <c r="O11" s="58">
        <f t="shared" si="15"/>
        <v>9.4999999999999973E-2</v>
      </c>
      <c r="P11" s="58">
        <f t="shared" si="15"/>
        <v>9.000000000000008E-2</v>
      </c>
      <c r="Q11" s="57">
        <f t="shared" si="15"/>
        <v>9.000000000000008E-2</v>
      </c>
    </row>
    <row r="12" spans="1:17" x14ac:dyDescent="0.2"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</row>
    <row r="13" spans="1:17" x14ac:dyDescent="0.2">
      <c r="B13" s="61" t="s">
        <v>178</v>
      </c>
      <c r="C13" s="63">
        <v>0.196606</v>
      </c>
      <c r="D13" s="63">
        <v>0.114465</v>
      </c>
      <c r="E13" s="63">
        <v>0.142734</v>
      </c>
      <c r="F13" s="63">
        <v>0.39718700000000001</v>
      </c>
      <c r="G13" s="11">
        <f>G14*G10</f>
        <v>0.43731618286867224</v>
      </c>
      <c r="H13" s="11">
        <f t="shared" ref="H13:Q13" si="16">H14*H10</f>
        <v>0.48760754389856958</v>
      </c>
      <c r="I13" s="11">
        <f t="shared" si="16"/>
        <v>0.5436824114469051</v>
      </c>
      <c r="J13" s="11">
        <f t="shared" si="16"/>
        <v>0.60076906464883006</v>
      </c>
      <c r="K13" s="11">
        <f t="shared" si="16"/>
        <v>0.66384981643695729</v>
      </c>
      <c r="L13" s="11">
        <f t="shared" si="16"/>
        <v>0.73023479808065306</v>
      </c>
      <c r="M13" s="11">
        <f t="shared" si="16"/>
        <v>0.8032582778887184</v>
      </c>
      <c r="N13" s="11">
        <f t="shared" si="16"/>
        <v>0.87956781428814657</v>
      </c>
      <c r="O13" s="11">
        <f t="shared" si="16"/>
        <v>0.9631267566455205</v>
      </c>
      <c r="P13" s="11">
        <f t="shared" si="16"/>
        <v>1.0498081647436175</v>
      </c>
      <c r="Q13" s="11">
        <f t="shared" si="16"/>
        <v>1.1442908995705432</v>
      </c>
    </row>
    <row r="14" spans="1:17" x14ac:dyDescent="0.2">
      <c r="A14" s="56"/>
      <c r="B14" s="65" t="s">
        <v>25</v>
      </c>
      <c r="C14" s="57">
        <f>C13/C7</f>
        <v>6.1817382498599322E-3</v>
      </c>
      <c r="D14" s="57">
        <f>D13/D7</f>
        <v>5.3521883981538145E-3</v>
      </c>
      <c r="E14" s="57">
        <f>E13/E7</f>
        <v>4.9275668320282245E-3</v>
      </c>
      <c r="F14" s="57">
        <f>F13/F7</f>
        <v>1.2526031313706432E-2</v>
      </c>
      <c r="G14" s="58">
        <f t="shared" ref="G14:Q14" si="17">+F14</f>
        <v>1.2526031313706432E-2</v>
      </c>
      <c r="H14" s="58">
        <f t="shared" si="17"/>
        <v>1.2526031313706432E-2</v>
      </c>
      <c r="I14" s="58">
        <f t="shared" si="17"/>
        <v>1.2526031313706432E-2</v>
      </c>
      <c r="J14" s="58">
        <f t="shared" si="17"/>
        <v>1.2526031313706432E-2</v>
      </c>
      <c r="K14" s="58">
        <f t="shared" si="17"/>
        <v>1.2526031313706432E-2</v>
      </c>
      <c r="L14" s="58">
        <f t="shared" si="17"/>
        <v>1.2526031313706432E-2</v>
      </c>
      <c r="M14" s="58">
        <f t="shared" si="17"/>
        <v>1.2526031313706432E-2</v>
      </c>
      <c r="N14" s="58">
        <f t="shared" si="17"/>
        <v>1.2526031313706432E-2</v>
      </c>
      <c r="O14" s="58">
        <f t="shared" si="17"/>
        <v>1.2526031313706432E-2</v>
      </c>
      <c r="P14" s="58">
        <f t="shared" si="17"/>
        <v>1.2526031313706432E-2</v>
      </c>
      <c r="Q14" s="57">
        <f t="shared" si="17"/>
        <v>1.2526031313706432E-2</v>
      </c>
    </row>
    <row r="15" spans="1:17" x14ac:dyDescent="0.2">
      <c r="F15" s="12"/>
    </row>
    <row r="16" spans="1:17" x14ac:dyDescent="0.2">
      <c r="B16" s="67" t="s">
        <v>26</v>
      </c>
      <c r="C16" s="219">
        <f>-(C19-C21+C23)</f>
        <v>-6.9353739999999995</v>
      </c>
      <c r="D16" s="219">
        <f>-(D19-D21+D23)</f>
        <v>-2.5529080000000004</v>
      </c>
      <c r="E16" s="219">
        <f>-(E19-E21+E23)</f>
        <v>-6.3130679999999995</v>
      </c>
      <c r="F16" s="219">
        <f>-(F19-F21+F23)</f>
        <v>-7.5341820000000004</v>
      </c>
      <c r="G16" s="54">
        <f>-G$10*G17</f>
        <v>-8.2044584114749988</v>
      </c>
      <c r="H16" s="54">
        <f t="shared" ref="H16:Q16" si="18">-H$10*H17</f>
        <v>-9.1479711287946248</v>
      </c>
      <c r="I16" s="54">
        <f t="shared" si="18"/>
        <v>-10.199987808606007</v>
      </c>
      <c r="J16" s="54">
        <f t="shared" si="18"/>
        <v>-11.270986528509637</v>
      </c>
      <c r="K16" s="54">
        <f t="shared" si="18"/>
        <v>-12.454440114003148</v>
      </c>
      <c r="L16" s="54">
        <f t="shared" si="18"/>
        <v>-13.699884125403464</v>
      </c>
      <c r="M16" s="54">
        <f t="shared" si="18"/>
        <v>-15.069872537943811</v>
      </c>
      <c r="N16" s="54">
        <f t="shared" si="18"/>
        <v>-16.501510429048473</v>
      </c>
      <c r="O16" s="54">
        <f t="shared" si="18"/>
        <v>-18.069153919808077</v>
      </c>
      <c r="P16" s="54">
        <f t="shared" si="18"/>
        <v>-19.695377772590806</v>
      </c>
      <c r="Q16" s="54">
        <f t="shared" si="18"/>
        <v>-21.467961772123981</v>
      </c>
    </row>
    <row r="17" spans="1:17" x14ac:dyDescent="0.2">
      <c r="A17" s="56"/>
      <c r="B17" s="65" t="s">
        <v>25</v>
      </c>
      <c r="C17" s="57">
        <f>-C16/C10</f>
        <v>0.21942027638377043</v>
      </c>
      <c r="D17" s="57">
        <f>-D16/D10</f>
        <v>0.12001195555834275</v>
      </c>
      <c r="E17" s="57">
        <f>-E16/E10</f>
        <v>0.21902357269152053</v>
      </c>
      <c r="F17" s="60">
        <f>-F16/F10</f>
        <v>0.24061844664711854</v>
      </c>
      <c r="G17" s="58">
        <f>Assumptions!H35</f>
        <v>0.23499999999999999</v>
      </c>
      <c r="H17" s="58">
        <f>Assumptions!I35</f>
        <v>0.23499999999999999</v>
      </c>
      <c r="I17" s="58">
        <f>Assumptions!J35</f>
        <v>0.23499999999999999</v>
      </c>
      <c r="J17" s="58">
        <f>Assumptions!K35</f>
        <v>0.23499999999999999</v>
      </c>
      <c r="K17" s="58">
        <f>Assumptions!L35</f>
        <v>0.23499999999999999</v>
      </c>
      <c r="L17" s="58">
        <f>Assumptions!M35</f>
        <v>0.23499999999999999</v>
      </c>
      <c r="M17" s="58">
        <f>Assumptions!N35</f>
        <v>0.23499999999999999</v>
      </c>
      <c r="N17" s="58">
        <f>Assumptions!O35</f>
        <v>0.23499999999999999</v>
      </c>
      <c r="O17" s="58">
        <f>Assumptions!P35</f>
        <v>0.23499999999999999</v>
      </c>
      <c r="P17" s="58">
        <f>Assumptions!Q35</f>
        <v>0.23499999999999999</v>
      </c>
      <c r="Q17" s="57">
        <f>Assumptions!R35</f>
        <v>0.23499999999999999</v>
      </c>
    </row>
    <row r="18" spans="1:17" x14ac:dyDescent="0.2">
      <c r="B18" s="61"/>
      <c r="C18" s="59"/>
      <c r="D18" s="59"/>
      <c r="E18" s="59"/>
      <c r="F18" s="60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 x14ac:dyDescent="0.2">
      <c r="B19" s="61" t="s">
        <v>179</v>
      </c>
      <c r="C19" s="217">
        <v>7.9091889999999996</v>
      </c>
      <c r="D19" s="217">
        <v>9.6767570000000003</v>
      </c>
      <c r="E19" s="217">
        <v>6.9825379999999999</v>
      </c>
      <c r="F19" s="217">
        <v>3.7366709999999999</v>
      </c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 x14ac:dyDescent="0.2">
      <c r="B20" s="61"/>
      <c r="C20" s="59"/>
      <c r="D20" s="59"/>
      <c r="E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 x14ac:dyDescent="0.2">
      <c r="B21" s="61" t="s">
        <v>180</v>
      </c>
      <c r="C21" s="63">
        <v>0.79853200000000002</v>
      </c>
      <c r="D21" s="63">
        <v>5.8187340000000001</v>
      </c>
      <c r="E21" s="63">
        <v>-9.6753000000000006E-2</v>
      </c>
      <c r="F21" s="63">
        <v>-3.1226919999999998</v>
      </c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 ht="12" customHeight="1" x14ac:dyDescent="0.2">
      <c r="B22" s="61"/>
      <c r="H22" s="218"/>
    </row>
    <row r="23" spans="1:17" ht="12" customHeight="1" x14ac:dyDescent="0.2">
      <c r="B23" s="61" t="s">
        <v>181</v>
      </c>
      <c r="C23" s="63">
        <v>-0.17528299999999999</v>
      </c>
      <c r="D23" s="63">
        <v>-1.305115</v>
      </c>
      <c r="E23" s="63">
        <v>-0.76622299999999999</v>
      </c>
      <c r="F23" s="218">
        <v>0.67481899999999995</v>
      </c>
    </row>
    <row r="24" spans="1:17" ht="12" customHeight="1" x14ac:dyDescent="0.2">
      <c r="B24" s="61"/>
      <c r="F24" s="12"/>
    </row>
    <row r="25" spans="1:17" x14ac:dyDescent="0.2">
      <c r="B25" s="54" t="s">
        <v>27</v>
      </c>
      <c r="C25" s="54">
        <f>C7+C16</f>
        <v>24.868949000000001</v>
      </c>
      <c r="D25" s="54">
        <f t="shared" ref="D25:F25" si="19">D7+D16</f>
        <v>18.833670999999995</v>
      </c>
      <c r="E25" s="54">
        <f t="shared" si="19"/>
        <v>22.653358000000004</v>
      </c>
      <c r="F25" s="54">
        <f t="shared" si="19"/>
        <v>24.174743999999997</v>
      </c>
      <c r="G25" s="54">
        <f>G7+G16</f>
        <v>27.145446756393671</v>
      </c>
      <c r="H25" s="54">
        <f t="shared" ref="H25:Q25" si="20">H7+H16</f>
        <v>30.267173133378947</v>
      </c>
      <c r="I25" s="54">
        <f t="shared" si="20"/>
        <v>33.747898043717527</v>
      </c>
      <c r="J25" s="54">
        <f t="shared" si="20"/>
        <v>37.291427338307862</v>
      </c>
      <c r="K25" s="54">
        <f t="shared" si="20"/>
        <v>41.207027208830191</v>
      </c>
      <c r="L25" s="54">
        <f t="shared" si="20"/>
        <v>45.327729929713207</v>
      </c>
      <c r="M25" s="54">
        <f t="shared" si="20"/>
        <v>49.860502922684532</v>
      </c>
      <c r="N25" s="54">
        <f t="shared" si="20"/>
        <v>54.597250700339565</v>
      </c>
      <c r="O25" s="54">
        <f t="shared" si="20"/>
        <v>59.783989516871827</v>
      </c>
      <c r="P25" s="54">
        <f t="shared" si="20"/>
        <v>65.164548573390306</v>
      </c>
      <c r="Q25" s="54">
        <f t="shared" si="20"/>
        <v>71.029357944995425</v>
      </c>
    </row>
    <row r="26" spans="1:17" x14ac:dyDescent="0.2">
      <c r="B26" s="11" t="s">
        <v>25</v>
      </c>
      <c r="C26" s="59">
        <f>C25/C7</f>
        <v>0.78193612233154597</v>
      </c>
      <c r="D26" s="59">
        <f t="shared" ref="D26:F26" si="21">D25/D7</f>
        <v>0.88063037103783626</v>
      </c>
      <c r="E26" s="59">
        <f t="shared" si="21"/>
        <v>0.78205568060070663</v>
      </c>
      <c r="F26" s="59">
        <f t="shared" si="21"/>
        <v>0.76239554755023864</v>
      </c>
      <c r="G26" s="59">
        <f>G25/G7</f>
        <v>0.76790720165969639</v>
      </c>
      <c r="H26" s="59">
        <f t="shared" ref="H26:Q26" si="22">H25/H7</f>
        <v>0.76790720165969639</v>
      </c>
      <c r="I26" s="59">
        <f t="shared" si="22"/>
        <v>0.7679072016596965</v>
      </c>
      <c r="J26" s="59">
        <f t="shared" si="22"/>
        <v>0.76790720165969639</v>
      </c>
      <c r="K26" s="59">
        <f t="shared" si="22"/>
        <v>0.76790720165969639</v>
      </c>
      <c r="L26" s="59">
        <f t="shared" si="22"/>
        <v>0.76790720165969639</v>
      </c>
      <c r="M26" s="59">
        <f t="shared" si="22"/>
        <v>0.76790720165969639</v>
      </c>
      <c r="N26" s="59">
        <f t="shared" si="22"/>
        <v>0.76790720165969639</v>
      </c>
      <c r="O26" s="59">
        <f t="shared" si="22"/>
        <v>0.7679072016596965</v>
      </c>
      <c r="P26" s="59">
        <f t="shared" si="22"/>
        <v>0.7679072016596965</v>
      </c>
      <c r="Q26" s="59">
        <f t="shared" si="22"/>
        <v>0.76790720165969639</v>
      </c>
    </row>
    <row r="27" spans="1:17" x14ac:dyDescent="0.2">
      <c r="F27" s="12"/>
    </row>
    <row r="28" spans="1:17" x14ac:dyDescent="0.2">
      <c r="B28" s="61" t="s">
        <v>183</v>
      </c>
      <c r="C28" s="64">
        <v>-8.9257570000000008</v>
      </c>
      <c r="D28" s="64">
        <v>-9.1792859999999994</v>
      </c>
      <c r="E28" s="64">
        <v>-9.1248749999999994</v>
      </c>
      <c r="F28" s="64">
        <v>-10.240000999999999</v>
      </c>
      <c r="G28" s="11">
        <f>-G$10*G29-'Debt Schedule'!C18</f>
        <v>-10.5261455789775</v>
      </c>
      <c r="H28" s="11">
        <f>-H$10*H29-'Debt Schedule'!D18</f>
        <v>-11.736652320559912</v>
      </c>
      <c r="I28" s="11">
        <f>-I$10*I29-'Debt Schedule'!E18</f>
        <v>-13.086367337424303</v>
      </c>
      <c r="J28" s="11">
        <f>-J$10*J29-'Debt Schedule'!F18</f>
        <v>-14.460435907853855</v>
      </c>
      <c r="K28" s="11">
        <f>-K$10*K29-'Debt Schedule'!G18</f>
        <v>-15.978781678178509</v>
      </c>
      <c r="L28" s="11">
        <f>-L$10*L29-'Debt Schedule'!H18</f>
        <v>-17.57665984599636</v>
      </c>
      <c r="M28" s="11">
        <f>-M$10*M29-'Debt Schedule'!I18</f>
        <v>-19.334325830595997</v>
      </c>
      <c r="N28" s="11">
        <f>-N$10*N29-'Debt Schedule'!J18</f>
        <v>-21.171086784502613</v>
      </c>
      <c r="O28" s="11">
        <f>-O$10*O29-'Debt Schedule'!K18</f>
        <v>-23.182340029030364</v>
      </c>
      <c r="P28" s="11">
        <f>-P$10*P29-'Debt Schedule'!L18</f>
        <v>-25.268750631643101</v>
      </c>
      <c r="Q28" s="11">
        <f>-Q$10*Q29-'Debt Schedule'!M18</f>
        <v>-27.542938188490979</v>
      </c>
    </row>
    <row r="29" spans="1:17" x14ac:dyDescent="0.2">
      <c r="B29" s="61" t="s">
        <v>25</v>
      </c>
      <c r="C29" s="59">
        <f>-C28/C10</f>
        <v>0.2823917020011284</v>
      </c>
      <c r="D29" s="59">
        <f>-D28/D10</f>
        <v>0.43151733767504252</v>
      </c>
      <c r="E29" s="59">
        <f>-E28/E10</f>
        <v>0.31657551017406094</v>
      </c>
      <c r="F29" s="60">
        <f>-F28/F10</f>
        <v>0.32703392807406834</v>
      </c>
      <c r="G29" s="59">
        <f>Assumptions!H43</f>
        <v>0.3</v>
      </c>
      <c r="H29" s="59">
        <f>Assumptions!I43</f>
        <v>0.3</v>
      </c>
      <c r="I29" s="59">
        <f>Assumptions!J43</f>
        <v>0.3</v>
      </c>
      <c r="J29" s="59">
        <f>Assumptions!K43</f>
        <v>0.3</v>
      </c>
      <c r="K29" s="59">
        <f>Assumptions!L43</f>
        <v>0.3</v>
      </c>
      <c r="L29" s="59">
        <f>Assumptions!M43</f>
        <v>0.3</v>
      </c>
      <c r="M29" s="59">
        <f>Assumptions!N43</f>
        <v>0.3</v>
      </c>
      <c r="N29" s="59">
        <f>Assumptions!O43</f>
        <v>0.3</v>
      </c>
      <c r="O29" s="59">
        <f>Assumptions!P43</f>
        <v>0.3</v>
      </c>
      <c r="P29" s="59">
        <f>Assumptions!Q43</f>
        <v>0.3</v>
      </c>
      <c r="Q29" s="59">
        <f>Assumptions!R43</f>
        <v>0.3</v>
      </c>
    </row>
    <row r="30" spans="1:17" x14ac:dyDescent="0.2">
      <c r="F30" s="12"/>
    </row>
    <row r="31" spans="1:17" x14ac:dyDescent="0.2">
      <c r="B31" s="61" t="s">
        <v>182</v>
      </c>
      <c r="C31" s="63">
        <v>-13.123278000000001</v>
      </c>
      <c r="D31" s="63">
        <v>-7.2996379999999998</v>
      </c>
      <c r="E31" s="63">
        <v>-10.939235999999999</v>
      </c>
      <c r="F31" s="64">
        <v>-11.289916</v>
      </c>
      <c r="G31" s="11">
        <f t="shared" ref="G31:Q31" si="23">-G$10*G32</f>
        <v>-12.917657924449999</v>
      </c>
      <c r="H31" s="11">
        <f t="shared" si="23"/>
        <v>-14.40318858576175</v>
      </c>
      <c r="I31" s="11">
        <f t="shared" si="23"/>
        <v>-16.059555273124353</v>
      </c>
      <c r="J31" s="11">
        <f t="shared" si="23"/>
        <v>-17.745808576802407</v>
      </c>
      <c r="K31" s="11">
        <f t="shared" si="23"/>
        <v>-19.60911847736666</v>
      </c>
      <c r="L31" s="11">
        <f t="shared" si="23"/>
        <v>-21.570030325103328</v>
      </c>
      <c r="M31" s="11">
        <f t="shared" si="23"/>
        <v>-23.72703335761366</v>
      </c>
      <c r="N31" s="11">
        <f t="shared" si="23"/>
        <v>-25.981101526586958</v>
      </c>
      <c r="O31" s="11">
        <f t="shared" si="23"/>
        <v>-28.449306171612719</v>
      </c>
      <c r="P31" s="11">
        <f t="shared" si="23"/>
        <v>-31.00974372705787</v>
      </c>
      <c r="Q31" s="11">
        <f t="shared" si="23"/>
        <v>-33.800620662493081</v>
      </c>
    </row>
    <row r="32" spans="1:17" x14ac:dyDescent="0.2">
      <c r="B32" s="61" t="s">
        <v>25</v>
      </c>
      <c r="C32" s="59">
        <f>-C31/C10</f>
        <v>0.41519221397736511</v>
      </c>
      <c r="D32" s="59">
        <f>-D31/D10</f>
        <v>0.3431552689121542</v>
      </c>
      <c r="E32" s="59">
        <f>-E31/E10</f>
        <v>0.37952237346971368</v>
      </c>
      <c r="F32" s="60">
        <f>-F31/F10</f>
        <v>0.36056496255286236</v>
      </c>
      <c r="G32" s="59">
        <f>Assumptions!H51</f>
        <v>0.37</v>
      </c>
      <c r="H32" s="59">
        <f>Assumptions!I51</f>
        <v>0.37</v>
      </c>
      <c r="I32" s="59">
        <f>Assumptions!J51</f>
        <v>0.37</v>
      </c>
      <c r="J32" s="59">
        <f>Assumptions!K51</f>
        <v>0.37</v>
      </c>
      <c r="K32" s="59">
        <f>Assumptions!L51</f>
        <v>0.37</v>
      </c>
      <c r="L32" s="59">
        <f>Assumptions!M51</f>
        <v>0.37</v>
      </c>
      <c r="M32" s="59">
        <f>Assumptions!N51</f>
        <v>0.37</v>
      </c>
      <c r="N32" s="59">
        <f>Assumptions!O51</f>
        <v>0.37</v>
      </c>
      <c r="O32" s="59">
        <f>Assumptions!P51</f>
        <v>0.37</v>
      </c>
      <c r="P32" s="59">
        <f>Assumptions!Q51</f>
        <v>0.37</v>
      </c>
      <c r="Q32" s="59">
        <f>Assumptions!R51</f>
        <v>0.37</v>
      </c>
    </row>
    <row r="33" spans="2:17" x14ac:dyDescent="0.2">
      <c r="F33" s="12"/>
    </row>
    <row r="34" spans="2:17" x14ac:dyDescent="0.2">
      <c r="B34" s="67" t="s">
        <v>168</v>
      </c>
      <c r="C34" s="54">
        <f t="shared" ref="C34:Q34" si="24">C25+C28+C31</f>
        <v>2.8199139999999989</v>
      </c>
      <c r="D34" s="54">
        <f t="shared" si="24"/>
        <v>2.3547469999999961</v>
      </c>
      <c r="E34" s="54">
        <f t="shared" si="24"/>
        <v>2.5892470000000056</v>
      </c>
      <c r="F34" s="55">
        <f t="shared" si="24"/>
        <v>2.6448269999999976</v>
      </c>
      <c r="G34" s="54">
        <f t="shared" si="24"/>
        <v>3.7016432529661696</v>
      </c>
      <c r="H34" s="54">
        <f t="shared" si="24"/>
        <v>4.1273322270572841</v>
      </c>
      <c r="I34" s="54">
        <f t="shared" si="24"/>
        <v>4.6019754331688709</v>
      </c>
      <c r="J34" s="54">
        <f t="shared" si="24"/>
        <v>5.0851828536515988</v>
      </c>
      <c r="K34" s="54">
        <f t="shared" si="24"/>
        <v>5.6191270532850233</v>
      </c>
      <c r="L34" s="54">
        <f t="shared" si="24"/>
        <v>6.1810397586135188</v>
      </c>
      <c r="M34" s="54">
        <f t="shared" si="24"/>
        <v>6.7991437344748746</v>
      </c>
      <c r="N34" s="54">
        <f t="shared" si="24"/>
        <v>7.4450623892499941</v>
      </c>
      <c r="O34" s="54">
        <f t="shared" si="24"/>
        <v>8.1523433162287446</v>
      </c>
      <c r="P34" s="54">
        <f t="shared" si="24"/>
        <v>8.8860542146893344</v>
      </c>
      <c r="Q34" s="54">
        <f t="shared" si="24"/>
        <v>9.6857990940113652</v>
      </c>
    </row>
    <row r="35" spans="2:17" x14ac:dyDescent="0.2">
      <c r="B35" s="11" t="s">
        <v>169</v>
      </c>
      <c r="C35" s="59">
        <f t="shared" ref="C35:Q35" si="25">C34/C10</f>
        <v>8.9215997473022141E-2</v>
      </c>
      <c r="D35" s="59">
        <f t="shared" si="25"/>
        <v>0.11069642631663201</v>
      </c>
      <c r="E35" s="59">
        <f t="shared" si="25"/>
        <v>8.9830511649930389E-2</v>
      </c>
      <c r="F35" s="60">
        <f t="shared" si="25"/>
        <v>8.4467585783082749E-2</v>
      </c>
      <c r="G35" s="59">
        <f t="shared" si="25"/>
        <v>0.10602603131370636</v>
      </c>
      <c r="H35" s="59">
        <f t="shared" si="25"/>
        <v>0.10602603131370648</v>
      </c>
      <c r="I35" s="59">
        <f t="shared" si="25"/>
        <v>0.10602603131370646</v>
      </c>
      <c r="J35" s="59">
        <f t="shared" si="25"/>
        <v>0.10602603131370639</v>
      </c>
      <c r="K35" s="59">
        <f t="shared" si="25"/>
        <v>0.10602603131370651</v>
      </c>
      <c r="L35" s="59">
        <f t="shared" si="25"/>
        <v>0.1060260313137064</v>
      </c>
      <c r="M35" s="59">
        <f t="shared" si="25"/>
        <v>0.10602603131370646</v>
      </c>
      <c r="N35" s="59">
        <f t="shared" si="25"/>
        <v>0.10602603131370655</v>
      </c>
      <c r="O35" s="59">
        <f t="shared" si="25"/>
        <v>0.10602603131370655</v>
      </c>
      <c r="P35" s="59">
        <f t="shared" si="25"/>
        <v>0.10602603131370658</v>
      </c>
      <c r="Q35" s="59">
        <f t="shared" si="25"/>
        <v>0.10602603131370647</v>
      </c>
    </row>
    <row r="36" spans="2:17" x14ac:dyDescent="0.2">
      <c r="F36" s="12"/>
    </row>
    <row r="37" spans="2:17" x14ac:dyDescent="0.2">
      <c r="B37" s="61" t="s">
        <v>30</v>
      </c>
      <c r="C37" s="11">
        <f>'PP&amp;E Schedule'!C8</f>
        <v>-0.61429500000000004</v>
      </c>
      <c r="D37" s="11">
        <f>'PP&amp;E Schedule'!D8</f>
        <v>-0.57561499999999999</v>
      </c>
      <c r="E37" s="11">
        <f>'PP&amp;E Schedule'!E8</f>
        <v>-0.49957000000000001</v>
      </c>
      <c r="F37" s="12">
        <f>'PP&amp;E Schedule'!F8</f>
        <v>-0.48489300000000002</v>
      </c>
      <c r="G37" s="11">
        <f>F37*(1+G38)</f>
        <v>-0.49265128800000002</v>
      </c>
      <c r="H37" s="11">
        <f t="shared" ref="H37:Q37" si="26">G37*(1+H38)</f>
        <v>-0.50102635989599997</v>
      </c>
      <c r="I37" s="11">
        <f t="shared" si="26"/>
        <v>-0.51004483437412795</v>
      </c>
      <c r="J37" s="11">
        <f t="shared" si="26"/>
        <v>-0.51973568622723632</v>
      </c>
      <c r="K37" s="11">
        <f t="shared" si="26"/>
        <v>-0.53013039995178102</v>
      </c>
      <c r="L37" s="11">
        <f t="shared" si="26"/>
        <v>-0.54073300795081669</v>
      </c>
      <c r="M37" s="11">
        <f t="shared" si="26"/>
        <v>-0.55154766810983302</v>
      </c>
      <c r="N37" s="11">
        <f t="shared" si="26"/>
        <v>-0.56257862147202964</v>
      </c>
      <c r="O37" s="11">
        <f t="shared" si="26"/>
        <v>-0.57383019390147028</v>
      </c>
      <c r="P37" s="11">
        <f t="shared" si="26"/>
        <v>-0.58530679777949968</v>
      </c>
      <c r="Q37" s="11">
        <f t="shared" si="26"/>
        <v>-0.59701293373508968</v>
      </c>
    </row>
    <row r="38" spans="2:17" x14ac:dyDescent="0.2">
      <c r="B38" s="61" t="s">
        <v>25</v>
      </c>
      <c r="C38" s="59"/>
      <c r="D38" s="59">
        <f>-D37/D7</f>
        <v>2.6914776785945994E-2</v>
      </c>
      <c r="E38" s="59">
        <f>-E37/E7</f>
        <v>1.7246518434825199E-2</v>
      </c>
      <c r="F38" s="59">
        <f>-F37/F7</f>
        <v>1.5292003267471124E-2</v>
      </c>
      <c r="G38" s="59">
        <f>Assumptions!H67</f>
        <v>1.6E-2</v>
      </c>
      <c r="H38" s="59">
        <f>Assumptions!I67</f>
        <v>1.7000000000000001E-2</v>
      </c>
      <c r="I38" s="59">
        <f>Assumptions!J67</f>
        <v>1.7999999999999999E-2</v>
      </c>
      <c r="J38" s="59">
        <f>Assumptions!K67</f>
        <v>1.9E-2</v>
      </c>
      <c r="K38" s="59">
        <f>Assumptions!L67</f>
        <v>0.02</v>
      </c>
      <c r="L38" s="59">
        <f>Assumptions!M67</f>
        <v>0.02</v>
      </c>
      <c r="M38" s="59">
        <f>Assumptions!N67</f>
        <v>0.02</v>
      </c>
      <c r="N38" s="59">
        <f>Assumptions!O67</f>
        <v>0.02</v>
      </c>
      <c r="O38" s="59">
        <f>Assumptions!P67</f>
        <v>0.02</v>
      </c>
      <c r="P38" s="59">
        <f>Assumptions!Q67</f>
        <v>0.02</v>
      </c>
      <c r="Q38" s="59">
        <f>Assumptions!R67</f>
        <v>0.02</v>
      </c>
    </row>
    <row r="39" spans="2:17" x14ac:dyDescent="0.2">
      <c r="B39" s="61"/>
      <c r="C39" s="27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</row>
    <row r="40" spans="2:17" x14ac:dyDescent="0.2">
      <c r="B40" s="61" t="s">
        <v>186</v>
      </c>
      <c r="C40" s="229">
        <v>-7.0000000000000007E-2</v>
      </c>
      <c r="D40" s="229">
        <v>-4.4999999999999998E-2</v>
      </c>
      <c r="E40" s="229">
        <v>-7.0000000000000007E-2</v>
      </c>
      <c r="F40" s="229">
        <v>-4.4999999999999998E-2</v>
      </c>
      <c r="G40" s="11">
        <f>F40*(1.03)</f>
        <v>-4.6350000000000002E-2</v>
      </c>
      <c r="H40" s="11">
        <f t="shared" ref="H40:Q40" si="27">G40*(1.03)</f>
        <v>-4.7740500000000005E-2</v>
      </c>
      <c r="I40" s="11">
        <f t="shared" si="27"/>
        <v>-4.9172715000000006E-2</v>
      </c>
      <c r="J40" s="11">
        <f t="shared" si="27"/>
        <v>-5.0647896450000007E-2</v>
      </c>
      <c r="K40" s="11">
        <f t="shared" si="27"/>
        <v>-5.2167333343500009E-2</v>
      </c>
      <c r="L40" s="11">
        <f t="shared" si="27"/>
        <v>-5.3732353343805009E-2</v>
      </c>
      <c r="M40" s="11">
        <f t="shared" si="27"/>
        <v>-5.5344323944119159E-2</v>
      </c>
      <c r="N40" s="11">
        <f t="shared" si="27"/>
        <v>-5.7004653662442735E-2</v>
      </c>
      <c r="O40" s="11">
        <f t="shared" si="27"/>
        <v>-5.8714793272316018E-2</v>
      </c>
      <c r="P40" s="11">
        <f t="shared" si="27"/>
        <v>-6.0476237070485502E-2</v>
      </c>
      <c r="Q40" s="11">
        <f t="shared" si="27"/>
        <v>-6.2290524182600067E-2</v>
      </c>
    </row>
    <row r="41" spans="2:17" x14ac:dyDescent="0.2">
      <c r="F41" s="12"/>
    </row>
    <row r="42" spans="2:17" x14ac:dyDescent="0.2">
      <c r="B42" s="61" t="s">
        <v>31</v>
      </c>
      <c r="C42" s="221">
        <f>-'PP&amp;E Schedule'!C6</f>
        <v>-0.31746700000000017</v>
      </c>
      <c r="D42" s="221">
        <f>-'PP&amp;E Schedule'!D6</f>
        <v>-0.63059299999999996</v>
      </c>
      <c r="E42" s="221">
        <f>-'PP&amp;E Schedule'!E6</f>
        <v>-0.15523200000000004</v>
      </c>
      <c r="F42" s="221">
        <f>-'PP&amp;E Schedule'!F6</f>
        <v>-0.27883799999999992</v>
      </c>
      <c r="G42" s="11">
        <f t="shared" ref="G42:Q42" si="28">-G43*G10</f>
        <v>-0.52368883477499995</v>
      </c>
      <c r="H42" s="11">
        <f t="shared" si="28"/>
        <v>-0.97318841795687505</v>
      </c>
      <c r="I42" s="11">
        <f t="shared" si="28"/>
        <v>-1.0851050860219158</v>
      </c>
      <c r="J42" s="11">
        <f t="shared" si="28"/>
        <v>-0.71942467203253002</v>
      </c>
      <c r="K42" s="11">
        <f t="shared" si="28"/>
        <v>-1.0599523501279275</v>
      </c>
      <c r="L42" s="11">
        <f t="shared" si="28"/>
        <v>-0.99105544736961237</v>
      </c>
      <c r="M42" s="11">
        <f t="shared" si="28"/>
        <v>-1.0901609921065738</v>
      </c>
      <c r="N42" s="11">
        <f t="shared" si="28"/>
        <v>-1.0532878997264983</v>
      </c>
      <c r="O42" s="11">
        <f t="shared" si="28"/>
        <v>-1.1533502502005157</v>
      </c>
      <c r="P42" s="11">
        <f t="shared" si="28"/>
        <v>-1.2571517727185622</v>
      </c>
      <c r="Q42" s="11">
        <f t="shared" si="28"/>
        <v>-1.3702954322632328</v>
      </c>
    </row>
    <row r="43" spans="2:17" x14ac:dyDescent="0.2">
      <c r="B43" s="61" t="s">
        <v>25</v>
      </c>
      <c r="C43" s="59">
        <f>-C42/C7</f>
        <v>9.9818820227677903E-3</v>
      </c>
      <c r="D43" s="59">
        <f>-D42/D7</f>
        <v>2.9485454405774762E-2</v>
      </c>
      <c r="E43" s="59">
        <f>-E42/E7</f>
        <v>5.3590318667549814E-3</v>
      </c>
      <c r="F43" s="59">
        <f>-F42/F7</f>
        <v>8.7936753203183213E-3</v>
      </c>
      <c r="G43" s="66">
        <f>Assumptions!H59</f>
        <v>1.4999999999999999E-2</v>
      </c>
      <c r="H43" s="66">
        <f>Assumptions!I59</f>
        <v>2.5000000000000001E-2</v>
      </c>
      <c r="I43" s="66">
        <f>Assumptions!J59</f>
        <v>2.5000000000000001E-2</v>
      </c>
      <c r="J43" s="66">
        <f>Assumptions!K59</f>
        <v>1.4999999999999999E-2</v>
      </c>
      <c r="K43" s="66">
        <f>Assumptions!L59</f>
        <v>0.02</v>
      </c>
      <c r="L43" s="66">
        <f>Assumptions!M59</f>
        <v>1.7000000000000001E-2</v>
      </c>
      <c r="M43" s="66">
        <f>Assumptions!N59</f>
        <v>1.7000000000000001E-2</v>
      </c>
      <c r="N43" s="66">
        <f>Assumptions!O59</f>
        <v>1.4999999999999999E-2</v>
      </c>
      <c r="O43" s="66">
        <f>Assumptions!P59</f>
        <v>1.4999999999999999E-2</v>
      </c>
      <c r="P43" s="66">
        <f>Assumptions!Q59</f>
        <v>1.4999999999999999E-2</v>
      </c>
      <c r="Q43" s="66">
        <f>Assumptions!R59</f>
        <v>1.4999999999999999E-2</v>
      </c>
    </row>
    <row r="44" spans="2:17" x14ac:dyDescent="0.2">
      <c r="F44" s="12"/>
    </row>
    <row r="45" spans="2:17" x14ac:dyDescent="0.2">
      <c r="B45" s="67" t="s">
        <v>28</v>
      </c>
      <c r="C45" s="54">
        <f t="shared" ref="C45:Q45" si="29">+C34+C37+C40</f>
        <v>2.1356189999999988</v>
      </c>
      <c r="D45" s="54">
        <f t="shared" si="29"/>
        <v>1.7341319999999962</v>
      </c>
      <c r="E45" s="54">
        <f t="shared" si="29"/>
        <v>2.0196770000000059</v>
      </c>
      <c r="F45" s="54">
        <f t="shared" si="29"/>
        <v>2.1149339999999976</v>
      </c>
      <c r="G45" s="54">
        <f t="shared" si="29"/>
        <v>3.1626419649661694</v>
      </c>
      <c r="H45" s="54">
        <f t="shared" si="29"/>
        <v>3.5785653671612838</v>
      </c>
      <c r="I45" s="54">
        <f t="shared" si="29"/>
        <v>4.0427578837947431</v>
      </c>
      <c r="J45" s="54">
        <f t="shared" si="29"/>
        <v>4.5147992709743621</v>
      </c>
      <c r="K45" s="54">
        <f t="shared" si="29"/>
        <v>5.0368293199897423</v>
      </c>
      <c r="L45" s="54">
        <f t="shared" si="29"/>
        <v>5.5865743973188975</v>
      </c>
      <c r="M45" s="54">
        <f t="shared" si="29"/>
        <v>6.1922517424209218</v>
      </c>
      <c r="N45" s="54">
        <f t="shared" si="29"/>
        <v>6.825479114115522</v>
      </c>
      <c r="O45" s="54">
        <f t="shared" si="29"/>
        <v>7.5197983290549582</v>
      </c>
      <c r="P45" s="54">
        <f t="shared" si="29"/>
        <v>8.2402711798393486</v>
      </c>
      <c r="Q45" s="54">
        <f t="shared" si="29"/>
        <v>9.0264956360936743</v>
      </c>
    </row>
    <row r="46" spans="2:17" x14ac:dyDescent="0.2">
      <c r="B46" s="11" t="s">
        <v>29</v>
      </c>
      <c r="C46" s="59">
        <f t="shared" ref="C46:Q46" si="30">+C45/C7</f>
        <v>6.7148701766108931E-2</v>
      </c>
      <c r="D46" s="59">
        <f t="shared" si="30"/>
        <v>8.1085058063750937E-2</v>
      </c>
      <c r="E46" s="59">
        <f t="shared" si="30"/>
        <v>6.9724756516389208E-2</v>
      </c>
      <c r="F46" s="59">
        <f t="shared" si="30"/>
        <v>6.669838013435074E-2</v>
      </c>
      <c r="G46" s="59">
        <f t="shared" si="30"/>
        <v>8.9466773671598304E-2</v>
      </c>
      <c r="H46" s="59">
        <f t="shared" si="30"/>
        <v>9.0791634386978695E-2</v>
      </c>
      <c r="I46" s="59">
        <f t="shared" si="30"/>
        <v>9.1989814877090431E-2</v>
      </c>
      <c r="J46" s="59">
        <f t="shared" si="30"/>
        <v>9.2969004451801063E-2</v>
      </c>
      <c r="K46" s="59">
        <f t="shared" si="30"/>
        <v>9.3863056142084567E-2</v>
      </c>
      <c r="L46" s="59">
        <f t="shared" si="30"/>
        <v>9.4643405239155834E-2</v>
      </c>
      <c r="M46" s="59">
        <f t="shared" si="30"/>
        <v>9.5367564079091166E-2</v>
      </c>
      <c r="N46" s="59">
        <f t="shared" si="30"/>
        <v>9.5999972512801929E-2</v>
      </c>
      <c r="O46" s="59">
        <f t="shared" si="30"/>
        <v>9.6589527373047129E-2</v>
      </c>
      <c r="P46" s="59">
        <f t="shared" si="30"/>
        <v>9.7104387602730935E-2</v>
      </c>
      <c r="Q46" s="59">
        <f t="shared" si="30"/>
        <v>9.7586564277743607E-2</v>
      </c>
    </row>
    <row r="47" spans="2:17" x14ac:dyDescent="0.2">
      <c r="F47" s="12"/>
    </row>
    <row r="48" spans="2:17" x14ac:dyDescent="0.2">
      <c r="B48" s="54" t="s">
        <v>33</v>
      </c>
      <c r="C48" s="11">
        <f>-'Debt Schedule'!C10</f>
        <v>-0.146426</v>
      </c>
      <c r="D48" s="11">
        <f>-'Debt Schedule'!D10</f>
        <v>-0.24460100000000001</v>
      </c>
      <c r="E48" s="11">
        <f>-'Debt Schedule'!E10</f>
        <v>-0.116456</v>
      </c>
      <c r="F48" s="12">
        <f>-'Debt Schedule'!F10</f>
        <v>-0.20474800000000001</v>
      </c>
      <c r="G48" s="82">
        <f>'LBO Model'!C54</f>
        <v>-0.77361189749999926</v>
      </c>
      <c r="H48" s="82">
        <f>'LBO Model'!D54</f>
        <v>-0.73761189749999923</v>
      </c>
      <c r="I48" s="82">
        <f>'LBO Model'!E54</f>
        <v>-0.7016118974999993</v>
      </c>
      <c r="J48" s="82">
        <f>'LBO Model'!F54</f>
        <v>-0.65361189749999937</v>
      </c>
      <c r="K48" s="82">
        <f>'LBO Model'!G54</f>
        <v>-0.5756118974999993</v>
      </c>
      <c r="L48" s="82">
        <f>'LBO Model'!H54</f>
        <v>-0.48561189749999933</v>
      </c>
      <c r="M48" s="82">
        <f>'LBO Model'!I54</f>
        <v>-0.29754303749999972</v>
      </c>
      <c r="N48" s="27">
        <f>'LBO Model'!J54</f>
        <v>0</v>
      </c>
      <c r="O48" s="27">
        <f>'LBO Model'!K54</f>
        <v>0</v>
      </c>
      <c r="P48" s="27">
        <f>'LBO Model'!L54</f>
        <v>0</v>
      </c>
      <c r="Q48" s="27">
        <f>'LBO Model'!M54</f>
        <v>0</v>
      </c>
    </row>
    <row r="49" spans="2:17" x14ac:dyDescent="0.2">
      <c r="F49" s="12"/>
    </row>
    <row r="50" spans="2:17" x14ac:dyDescent="0.2">
      <c r="B50" s="54" t="s">
        <v>188</v>
      </c>
      <c r="C50" s="229">
        <v>1.122371</v>
      </c>
      <c r="D50" s="229">
        <v>0.341918</v>
      </c>
      <c r="E50" s="229">
        <v>0.48680899999999999</v>
      </c>
      <c r="F50" s="229">
        <v>0.96345999999999998</v>
      </c>
      <c r="G50" s="27">
        <v>0</v>
      </c>
      <c r="H50" s="27">
        <f>G50</f>
        <v>0</v>
      </c>
      <c r="I50" s="27">
        <f t="shared" ref="I50:Q50" si="31">H50</f>
        <v>0</v>
      </c>
      <c r="J50" s="27">
        <f t="shared" si="31"/>
        <v>0</v>
      </c>
      <c r="K50" s="27">
        <f t="shared" si="31"/>
        <v>0</v>
      </c>
      <c r="L50" s="27">
        <f t="shared" si="31"/>
        <v>0</v>
      </c>
      <c r="M50" s="27">
        <f t="shared" si="31"/>
        <v>0</v>
      </c>
      <c r="N50" s="27">
        <f t="shared" si="31"/>
        <v>0</v>
      </c>
      <c r="O50" s="27">
        <f t="shared" si="31"/>
        <v>0</v>
      </c>
      <c r="P50" s="27">
        <f t="shared" si="31"/>
        <v>0</v>
      </c>
      <c r="Q50" s="27">
        <f t="shared" si="31"/>
        <v>0</v>
      </c>
    </row>
    <row r="52" spans="2:17" x14ac:dyDescent="0.2">
      <c r="B52" s="54" t="s">
        <v>34</v>
      </c>
      <c r="C52" s="54">
        <f>C45+C48+C50</f>
        <v>3.1115639999999987</v>
      </c>
      <c r="D52" s="54">
        <f t="shared" ref="D52:E52" si="32">D45+D48+D50</f>
        <v>1.8314489999999961</v>
      </c>
      <c r="E52" s="54">
        <f t="shared" si="32"/>
        <v>2.3900300000000061</v>
      </c>
      <c r="F52" s="54">
        <f>F45+F48+F50</f>
        <v>2.8736459999999977</v>
      </c>
      <c r="G52" s="54">
        <f t="shared" ref="G52:Q52" si="33">G34+G48</f>
        <v>2.9280313554661701</v>
      </c>
      <c r="H52" s="54">
        <f t="shared" si="33"/>
        <v>3.3897203295572851</v>
      </c>
      <c r="I52" s="54">
        <f t="shared" si="33"/>
        <v>3.9003635356688715</v>
      </c>
      <c r="J52" s="54">
        <f t="shared" si="33"/>
        <v>4.4315709561515995</v>
      </c>
      <c r="K52" s="54">
        <f t="shared" si="33"/>
        <v>5.0435151557850242</v>
      </c>
      <c r="L52" s="54">
        <f t="shared" si="33"/>
        <v>5.6954278611135196</v>
      </c>
      <c r="M52" s="54">
        <f t="shared" si="33"/>
        <v>6.501600696974875</v>
      </c>
      <c r="N52" s="54">
        <f t="shared" si="33"/>
        <v>7.4450623892499941</v>
      </c>
      <c r="O52" s="54">
        <f t="shared" si="33"/>
        <v>8.1523433162287446</v>
      </c>
      <c r="P52" s="54">
        <f t="shared" si="33"/>
        <v>8.8860542146893344</v>
      </c>
      <c r="Q52" s="54">
        <f t="shared" si="33"/>
        <v>9.6857990940113652</v>
      </c>
    </row>
    <row r="53" spans="2:17" x14ac:dyDescent="0.2">
      <c r="B53" s="11" t="s">
        <v>29</v>
      </c>
      <c r="C53" s="59">
        <f t="shared" ref="C53:Q53" si="34">C52/C7</f>
        <v>9.7834624557171013E-2</v>
      </c>
      <c r="D53" s="59">
        <f t="shared" si="34"/>
        <v>8.5635435195128506E-2</v>
      </c>
      <c r="E53" s="59">
        <f t="shared" si="34"/>
        <v>8.2510351812129179E-2</v>
      </c>
      <c r="F53" s="59">
        <f t="shared" si="34"/>
        <v>9.0625775215470813E-2</v>
      </c>
      <c r="G53" s="59">
        <f t="shared" si="34"/>
        <v>8.2829963519325284E-2</v>
      </c>
      <c r="H53" s="59">
        <f t="shared" si="34"/>
        <v>8.6000454723956829E-2</v>
      </c>
      <c r="I53" s="59">
        <f t="shared" si="34"/>
        <v>8.8749742109896251E-2</v>
      </c>
      <c r="J53" s="59">
        <f t="shared" si="34"/>
        <v>9.1255162239364584E-2</v>
      </c>
      <c r="K53" s="59">
        <f t="shared" si="34"/>
        <v>9.3987649004129495E-2</v>
      </c>
      <c r="L53" s="59">
        <f t="shared" si="34"/>
        <v>9.6487516093661671E-2</v>
      </c>
      <c r="M53" s="59">
        <f t="shared" si="34"/>
        <v>0.10013188204829084</v>
      </c>
      <c r="N53" s="59">
        <f t="shared" si="34"/>
        <v>0.10471437576389279</v>
      </c>
      <c r="O53" s="59">
        <f t="shared" si="34"/>
        <v>0.10471437576389281</v>
      </c>
      <c r="P53" s="59">
        <f t="shared" si="34"/>
        <v>0.10471437576389282</v>
      </c>
      <c r="Q53" s="59">
        <f t="shared" si="34"/>
        <v>0.10471437576389273</v>
      </c>
    </row>
    <row r="54" spans="2:17" x14ac:dyDescent="0.2">
      <c r="F54" s="12"/>
    </row>
    <row r="55" spans="2:17" x14ac:dyDescent="0.2">
      <c r="B55" s="61" t="s">
        <v>35</v>
      </c>
      <c r="C55" s="229">
        <f>-0.648704</f>
        <v>-0.64870399999999995</v>
      </c>
      <c r="D55" s="229">
        <f>-0.538208</f>
        <v>-0.53820800000000002</v>
      </c>
      <c r="E55" s="229">
        <f>-0.79637</f>
        <v>-0.79637000000000002</v>
      </c>
      <c r="F55" s="229">
        <f>-0.840426</f>
        <v>-0.84042600000000001</v>
      </c>
      <c r="G55" s="11">
        <f t="shared" ref="G55:Q55" si="35">-(G52*0.279)</f>
        <v>-0.81692074817506155</v>
      </c>
      <c r="H55" s="11">
        <f t="shared" si="35"/>
        <v>-0.94573197194648262</v>
      </c>
      <c r="I55" s="11">
        <f t="shared" si="35"/>
        <v>-1.0882014264516153</v>
      </c>
      <c r="J55" s="11">
        <f t="shared" si="35"/>
        <v>-1.2364082967662964</v>
      </c>
      <c r="K55" s="11">
        <f t="shared" si="35"/>
        <v>-1.4071407284640218</v>
      </c>
      <c r="L55" s="11">
        <f t="shared" si="35"/>
        <v>-1.5890243732506721</v>
      </c>
      <c r="M55" s="11">
        <f t="shared" si="35"/>
        <v>-1.8139465944559903</v>
      </c>
      <c r="N55" s="11">
        <f t="shared" si="35"/>
        <v>-2.0771724066007486</v>
      </c>
      <c r="O55" s="11">
        <f t="shared" si="35"/>
        <v>-2.2745037852278198</v>
      </c>
      <c r="P55" s="11">
        <f t="shared" si="35"/>
        <v>-2.4792091258983247</v>
      </c>
      <c r="Q55" s="11">
        <f t="shared" si="35"/>
        <v>-2.7023379472291711</v>
      </c>
    </row>
    <row r="56" spans="2:17" x14ac:dyDescent="0.2">
      <c r="F56" s="12"/>
    </row>
    <row r="57" spans="2:17" x14ac:dyDescent="0.2">
      <c r="B57" s="68" t="s">
        <v>36</v>
      </c>
      <c r="C57" s="68">
        <f>C52+C55</f>
        <v>2.4628599999999987</v>
      </c>
      <c r="D57" s="68">
        <f>D52+D55</f>
        <v>1.2932409999999961</v>
      </c>
      <c r="E57" s="68">
        <f t="shared" ref="E57:Q57" si="36">E52+E55</f>
        <v>1.5936600000000061</v>
      </c>
      <c r="F57" s="68">
        <f t="shared" si="36"/>
        <v>2.0332199999999978</v>
      </c>
      <c r="G57" s="68">
        <f t="shared" si="36"/>
        <v>2.1111106072911086</v>
      </c>
      <c r="H57" s="68">
        <f t="shared" si="36"/>
        <v>2.4439883576108024</v>
      </c>
      <c r="I57" s="68">
        <f t="shared" si="36"/>
        <v>2.8121621092172564</v>
      </c>
      <c r="J57" s="68">
        <f t="shared" si="36"/>
        <v>3.1951626593853031</v>
      </c>
      <c r="K57" s="68">
        <f t="shared" si="36"/>
        <v>3.6363744273210026</v>
      </c>
      <c r="L57" s="68">
        <f t="shared" si="36"/>
        <v>4.1064034878628473</v>
      </c>
      <c r="M57" s="68">
        <f t="shared" si="36"/>
        <v>4.6876541025188843</v>
      </c>
      <c r="N57" s="68">
        <f t="shared" si="36"/>
        <v>5.3678899826492454</v>
      </c>
      <c r="O57" s="68">
        <f t="shared" si="36"/>
        <v>5.8778395310009248</v>
      </c>
      <c r="P57" s="68">
        <f t="shared" si="36"/>
        <v>6.4068450887910098</v>
      </c>
      <c r="Q57" s="68">
        <f t="shared" si="36"/>
        <v>6.9834611467821937</v>
      </c>
    </row>
    <row r="58" spans="2:17" x14ac:dyDescent="0.2">
      <c r="B58" s="11" t="s">
        <v>29</v>
      </c>
      <c r="C58" s="59">
        <f t="shared" ref="C58:Q58" si="37">C57/C7</f>
        <v>7.7437900501765078E-2</v>
      </c>
      <c r="D58" s="59">
        <f t="shared" si="37"/>
        <v>6.0469746002855165E-2</v>
      </c>
      <c r="E58" s="59">
        <f t="shared" si="37"/>
        <v>5.5017488177519933E-2</v>
      </c>
      <c r="F58" s="59">
        <f t="shared" si="37"/>
        <v>6.4121377053262471E-2</v>
      </c>
      <c r="G58" s="59">
        <f t="shared" si="37"/>
        <v>5.9720403697433526E-2</v>
      </c>
      <c r="H58" s="59">
        <f t="shared" si="37"/>
        <v>6.2006327855972876E-2</v>
      </c>
      <c r="I58" s="59">
        <f t="shared" si="37"/>
        <v>6.3988564061235195E-2</v>
      </c>
      <c r="J58" s="59">
        <f t="shared" si="37"/>
        <v>6.5794971974581867E-2</v>
      </c>
      <c r="K58" s="59">
        <f t="shared" si="37"/>
        <v>6.7765094931977368E-2</v>
      </c>
      <c r="L58" s="59">
        <f t="shared" si="37"/>
        <v>6.9567499103530051E-2</v>
      </c>
      <c r="M58" s="59">
        <f t="shared" si="37"/>
        <v>7.2195086956817686E-2</v>
      </c>
      <c r="N58" s="59">
        <f t="shared" si="37"/>
        <v>7.5499064925766704E-2</v>
      </c>
      <c r="O58" s="59">
        <f t="shared" si="37"/>
        <v>7.5499064925766718E-2</v>
      </c>
      <c r="P58" s="59">
        <f t="shared" si="37"/>
        <v>7.5499064925766718E-2</v>
      </c>
      <c r="Q58" s="59">
        <f t="shared" si="37"/>
        <v>7.5499064925766649E-2</v>
      </c>
    </row>
    <row r="59" spans="2:17" x14ac:dyDescent="0.2">
      <c r="F59" s="12"/>
    </row>
    <row r="60" spans="2:17" x14ac:dyDescent="0.2">
      <c r="B60" s="11" t="s">
        <v>202</v>
      </c>
      <c r="C60" s="11">
        <f>C45+C55</f>
        <v>1.4869149999999989</v>
      </c>
      <c r="D60" s="11">
        <f t="shared" ref="D60:F60" si="38">D45+D55</f>
        <v>1.1959239999999962</v>
      </c>
      <c r="E60" s="11">
        <f t="shared" si="38"/>
        <v>1.2233070000000059</v>
      </c>
      <c r="F60" s="11">
        <f t="shared" si="38"/>
        <v>1.2745079999999978</v>
      </c>
    </row>
    <row r="61" spans="2:17" x14ac:dyDescent="0.2">
      <c r="B61" s="11" t="s">
        <v>32</v>
      </c>
      <c r="C61" s="11">
        <f>C34</f>
        <v>2.8199139999999989</v>
      </c>
      <c r="D61" s="11">
        <f>D34</f>
        <v>2.3547469999999961</v>
      </c>
      <c r="E61" s="11">
        <f>E34</f>
        <v>2.5892470000000056</v>
      </c>
      <c r="F61" s="11">
        <f>F34</f>
        <v>2.6448269999999976</v>
      </c>
    </row>
    <row r="62" spans="2:17" x14ac:dyDescent="0.2">
      <c r="B62" s="11" t="s">
        <v>37</v>
      </c>
      <c r="C62" s="27">
        <f>'Cash Flow Statement'!C22</f>
        <v>0</v>
      </c>
      <c r="D62" s="11">
        <f>'Cash Flow Statement'!D22</f>
        <v>-0.63059299999999996</v>
      </c>
      <c r="E62" s="11">
        <f>'Cash Flow Statement'!E22</f>
        <v>-0.15523200000000004</v>
      </c>
      <c r="F62" s="11">
        <f>'Cash Flow Statement'!F22</f>
        <v>-0.27883799999999992</v>
      </c>
    </row>
    <row r="63" spans="2:17" x14ac:dyDescent="0.2">
      <c r="B63" s="11" t="s">
        <v>38</v>
      </c>
      <c r="C63" s="11">
        <f>SUM(C61:C62)</f>
        <v>2.8199139999999989</v>
      </c>
      <c r="D63" s="11">
        <f>SUM(D61:D62)</f>
        <v>1.7241539999999962</v>
      </c>
      <c r="E63" s="11">
        <f>SUM(E61:E62)</f>
        <v>2.4340150000000058</v>
      </c>
      <c r="F63" s="11">
        <f>SUM(F61:F62)</f>
        <v>2.3659889999999977</v>
      </c>
    </row>
    <row r="64" spans="2:17" x14ac:dyDescent="0.2">
      <c r="B64" s="11" t="s">
        <v>39</v>
      </c>
      <c r="C64" s="59">
        <f>C63/C61</f>
        <v>1</v>
      </c>
      <c r="D64" s="59">
        <f>D63/D61</f>
        <v>0.73220350211721219</v>
      </c>
      <c r="E64" s="59">
        <f>E63/E61</f>
        <v>0.9400474346402643</v>
      </c>
      <c r="F64" s="59">
        <f>F63/F61</f>
        <v>0.89457231040064245</v>
      </c>
    </row>
    <row r="65" spans="2:6" x14ac:dyDescent="0.2">
      <c r="B65" s="11" t="s">
        <v>189</v>
      </c>
      <c r="C65" s="27">
        <f>-C62/C7</f>
        <v>0</v>
      </c>
      <c r="D65" s="66">
        <f>-D62/D7</f>
        <v>2.9485454405774762E-2</v>
      </c>
      <c r="E65" s="66">
        <f>-E62/E7</f>
        <v>5.3590318667549814E-3</v>
      </c>
      <c r="F65" s="66">
        <f>-F62/F7</f>
        <v>8.7936753203183213E-3</v>
      </c>
    </row>
    <row r="66" spans="2:6" x14ac:dyDescent="0.2">
      <c r="F66" s="12"/>
    </row>
    <row r="67" spans="2:6" x14ac:dyDescent="0.2">
      <c r="B67" s="68" t="s">
        <v>40</v>
      </c>
    </row>
    <row r="69" spans="2:6" x14ac:dyDescent="0.2">
      <c r="B69" s="11" t="s">
        <v>41</v>
      </c>
      <c r="C69" s="59">
        <f>C57/'Balance Sheet'!C28</f>
        <v>4.9229519225929615E-2</v>
      </c>
      <c r="D69" s="59">
        <f>D57/'Balance Sheet'!D28</f>
        <v>2.5567542602702338E-2</v>
      </c>
      <c r="E69" s="59">
        <f>E57/'Balance Sheet'!E28</f>
        <v>3.0544504289179441E-2</v>
      </c>
      <c r="F69" s="59">
        <f>F57/'Balance Sheet'!F28</f>
        <v>3.7927381865864418E-2</v>
      </c>
    </row>
    <row r="70" spans="2:6" x14ac:dyDescent="0.2">
      <c r="B70" s="11" t="s">
        <v>42</v>
      </c>
      <c r="C70" s="59">
        <f>C45/'Balance Sheet'!C24</f>
        <v>4.6823557661549345E-2</v>
      </c>
      <c r="D70" s="59">
        <f>D45/'Balance Sheet'!D24</f>
        <v>3.9215646367465835E-2</v>
      </c>
      <c r="E70" s="59">
        <f>E45/'Balance Sheet'!E24</f>
        <v>3.7960393422035763E-2</v>
      </c>
      <c r="F70" s="59">
        <f>F45/'Balance Sheet'!F24</f>
        <v>3.8271388660143062E-2</v>
      </c>
    </row>
    <row r="71" spans="2:6" x14ac:dyDescent="0.2">
      <c r="B71" s="11" t="s">
        <v>43</v>
      </c>
      <c r="C71" s="59">
        <f>C45/('Balance Sheet'!C28+'Balance Sheet'!C33)</f>
        <v>4.7361672701108651E-2</v>
      </c>
      <c r="D71" s="59">
        <f>D45/('Balance Sheet'!D28+'Balance Sheet'!D33)</f>
        <v>3.9696166601331601E-2</v>
      </c>
      <c r="E71" s="59">
        <f>E45/('Balance Sheet'!E28+'Balance Sheet'!E33)</f>
        <v>3.8341241466594261E-2</v>
      </c>
      <c r="F71" s="59">
        <f>F45/('Balance Sheet'!F28+'Balance Sheet'!F33)</f>
        <v>3.8602530901058238E-2</v>
      </c>
    </row>
    <row r="72" spans="2:6" x14ac:dyDescent="0.2">
      <c r="B72" s="11" t="s">
        <v>44</v>
      </c>
      <c r="C72" s="59">
        <f>C45/C7</f>
        <v>6.7148701766108931E-2</v>
      </c>
      <c r="D72" s="59">
        <f>D45/D7</f>
        <v>8.1085058063750937E-2</v>
      </c>
      <c r="E72" s="59">
        <f>E45/E7</f>
        <v>6.9724756516389208E-2</v>
      </c>
      <c r="F72" s="59">
        <f>F45/F7</f>
        <v>6.669838013435074E-2</v>
      </c>
    </row>
    <row r="74" spans="2:6" x14ac:dyDescent="0.2">
      <c r="B74" s="68" t="s">
        <v>45</v>
      </c>
    </row>
    <row r="76" spans="2:6" x14ac:dyDescent="0.2">
      <c r="B76" s="11" t="s">
        <v>46</v>
      </c>
      <c r="C76" s="11">
        <f>C7/'Balance Sheet'!C24</f>
        <v>0.69731143611151658</v>
      </c>
      <c r="D76" s="11">
        <f>D7/'Balance Sheet'!D24</f>
        <v>0.48363591645496007</v>
      </c>
      <c r="E76" s="11">
        <f>E7/'Balance Sheet'!E24</f>
        <v>0.54443206858833493</v>
      </c>
      <c r="F76" s="11">
        <f>F7/'Balance Sheet'!F24</f>
        <v>0.57379787309756092</v>
      </c>
    </row>
    <row r="77" spans="2:6" x14ac:dyDescent="0.2">
      <c r="B77" s="11" t="s">
        <v>47</v>
      </c>
      <c r="C77" s="11">
        <f>'Balance Sheet'!C24/C7</f>
        <v>1.4340794488849833</v>
      </c>
      <c r="D77" s="11">
        <f>'Balance Sheet'!D24/D7</f>
        <v>2.0676710847489916</v>
      </c>
      <c r="E77" s="11">
        <f>'Balance Sheet'!E24/E7</f>
        <v>1.8367764459446945</v>
      </c>
      <c r="F77" s="11">
        <f>'Balance Sheet'!F24/F7</f>
        <v>1.7427739747476783</v>
      </c>
    </row>
    <row r="79" spans="2:6" x14ac:dyDescent="0.2">
      <c r="B79" s="68" t="s">
        <v>48</v>
      </c>
    </row>
    <row r="81" spans="2:6" x14ac:dyDescent="0.2">
      <c r="B81" s="11" t="s">
        <v>49</v>
      </c>
      <c r="C81" s="212">
        <f>('Balance Sheet'!C15+'Balance Sheet'!C34+'Balance Sheet'!C20)/(-'Balance Sheet'!C17-'Balance Sheet'!C18+'Debt Schedule'!C8)</f>
        <v>4.8072053012121385</v>
      </c>
      <c r="D81" s="212">
        <f>('Balance Sheet'!D15+'Balance Sheet'!D34+'Balance Sheet'!D20)/(-'Balance Sheet'!D17-'Balance Sheet'!D18+'Debt Schedule'!D8)</f>
        <v>2.6864879932658092</v>
      </c>
      <c r="E81" s="212">
        <f>('Balance Sheet'!E15+'Balance Sheet'!E34+'Balance Sheet'!E20)/(-'Balance Sheet'!E17-'Balance Sheet'!E18+'Debt Schedule'!E8)</f>
        <v>2.59629057058324</v>
      </c>
      <c r="F81" s="212">
        <f>('Balance Sheet'!F15+'Balance Sheet'!F34+'Balance Sheet'!F20)/(-'Balance Sheet'!F17-'Balance Sheet'!F18+'Debt Schedule'!F8)</f>
        <v>3.0041780453387661</v>
      </c>
    </row>
    <row r="82" spans="2:6" x14ac:dyDescent="0.2">
      <c r="B82" s="11" t="s">
        <v>50</v>
      </c>
      <c r="C82" s="212">
        <f>('Balance Sheet'!C15+'Balance Sheet'!C16+'Balance Sheet'!C34+'Balance Sheet'!C20)/(-'Balance Sheet'!C17-'Balance Sheet'!C18+'Debt Schedule'!C8)</f>
        <v>5.6789241318052515</v>
      </c>
      <c r="D82" s="212">
        <f>('Balance Sheet'!D15+'Balance Sheet'!D16+'Balance Sheet'!D34+'Balance Sheet'!D20)/(-'Balance Sheet'!D17-'Balance Sheet'!D18+'Debt Schedule'!D8)</f>
        <v>3.7081913698171585</v>
      </c>
      <c r="E82" s="212">
        <f>('Balance Sheet'!E15+'Balance Sheet'!E16+'Balance Sheet'!E34+'Balance Sheet'!E20)/(-'Balance Sheet'!E17-'Balance Sheet'!E18+'Debt Schedule'!E8)</f>
        <v>3.6421931290209777</v>
      </c>
      <c r="F82" s="212">
        <f>('Balance Sheet'!F15+'Balance Sheet'!F16+'Balance Sheet'!F34+'Balance Sheet'!F20)/(-'Balance Sheet'!F17-'Balance Sheet'!F18+'Debt Schedule'!F8)</f>
        <v>4.0002637001852728</v>
      </c>
    </row>
    <row r="83" spans="2:6" x14ac:dyDescent="0.2">
      <c r="B83" s="11" t="s">
        <v>51</v>
      </c>
      <c r="C83" s="62">
        <f>('Balance Sheet'!C15+'Balance Sheet'!C16)/(-'Balance Sheet'!C17-'Balance Sheet'!C18)</f>
        <v>2.9315105140222268</v>
      </c>
      <c r="D83" s="62">
        <f>('Balance Sheet'!D15+'Balance Sheet'!D16)/(-'Balance Sheet'!D17-'Balance Sheet'!D18)</f>
        <v>1.7257075158463095</v>
      </c>
      <c r="E83" s="62">
        <f>('Balance Sheet'!E15+'Balance Sheet'!E16)/(-'Balance Sheet'!E17-'Balance Sheet'!E18)</f>
        <v>2.5499501755423815</v>
      </c>
      <c r="F83" s="62">
        <f>('Balance Sheet'!F15+'Balance Sheet'!F16)/(-'Balance Sheet'!F17-'Balance Sheet'!F18)</f>
        <v>3.0912135743604883</v>
      </c>
    </row>
    <row r="85" spans="2:6" x14ac:dyDescent="0.2">
      <c r="B85" s="68" t="s">
        <v>52</v>
      </c>
    </row>
    <row r="87" spans="2:6" x14ac:dyDescent="0.2">
      <c r="B87" s="11" t="s">
        <v>53</v>
      </c>
      <c r="C87" s="11">
        <f>'Balance Sheet'!C24/'Balance Sheet'!C28</f>
        <v>0.9116858972536922</v>
      </c>
      <c r="D87" s="11">
        <f>'Balance Sheet'!D24/'Balance Sheet'!D28</f>
        <v>0.87424327109294442</v>
      </c>
      <c r="E87" s="11">
        <f>'Balance Sheet'!E24/'Balance Sheet'!E28</f>
        <v>1.0197380485709864</v>
      </c>
      <c r="F87" s="11">
        <f>'Balance Sheet'!F24/'Balance Sheet'!F28</f>
        <v>1.0308395902234051</v>
      </c>
    </row>
    <row r="88" spans="2:6" x14ac:dyDescent="0.2">
      <c r="B88" s="11" t="s">
        <v>54</v>
      </c>
      <c r="C88" s="11">
        <f>'Balance Sheet'!C28/'Debt Schedule'!C8</f>
        <v>71.885361301141046</v>
      </c>
      <c r="D88" s="11">
        <f>'Balance Sheet'!D28/'Debt Schedule'!D8</f>
        <v>286.31388964361724</v>
      </c>
      <c r="E88" s="11">
        <f>'Balance Sheet'!E28/'Debt Schedule'!E8</f>
        <v>17.640365878150163</v>
      </c>
      <c r="F88" s="11">
        <f>'Balance Sheet'!F28/'Debt Schedule'!F8</f>
        <v>12.158298272085863</v>
      </c>
    </row>
    <row r="89" spans="2:6" x14ac:dyDescent="0.2">
      <c r="B89" s="11" t="s">
        <v>55</v>
      </c>
      <c r="C89" s="213">
        <f t="shared" ref="C89:F89" si="39">C45/-C48</f>
        <v>14.584971248275572</v>
      </c>
      <c r="D89" s="213">
        <f t="shared" si="39"/>
        <v>7.0896357741791576</v>
      </c>
      <c r="E89" s="213">
        <f t="shared" si="39"/>
        <v>17.34283334478263</v>
      </c>
      <c r="F89" s="213">
        <f t="shared" si="39"/>
        <v>10.329448883505565</v>
      </c>
    </row>
    <row r="90" spans="2:6" x14ac:dyDescent="0.2">
      <c r="B90" s="11" t="s">
        <v>56</v>
      </c>
      <c r="C90" s="11">
        <f>'Balance Sheet'!C30/'Debt Schedule'!C10</f>
        <v>16.819827079890175</v>
      </c>
      <c r="D90" s="11">
        <f>'Balance Sheet'!D28/'Balance Sheet'!D8</f>
        <v>4.2054423182689469</v>
      </c>
      <c r="E90" s="11">
        <f>'Balance Sheet'!E28/'Balance Sheet'!E8</f>
        <v>3.4579882885080764</v>
      </c>
      <c r="F90" s="11">
        <f>'Balance Sheet'!F28/'Balance Sheet'!F8</f>
        <v>2.4959086887299655</v>
      </c>
    </row>
    <row r="91" spans="2:6" x14ac:dyDescent="0.2">
      <c r="B91" s="11" t="s">
        <v>170</v>
      </c>
      <c r="C91" s="11">
        <f>('Debt Schedule'!C8)/('Income Statement'!C34)</f>
        <v>0.24679582426981825</v>
      </c>
      <c r="D91" s="11">
        <f>('Debt Schedule'!D8)/('Income Statement'!D34)</f>
        <v>7.5024620479397688E-2</v>
      </c>
      <c r="E91" s="11">
        <f>('Debt Schedule'!E8)/('Income Statement'!E34)</f>
        <v>1.1423035345797421</v>
      </c>
      <c r="F91" s="11">
        <f>('Debt Schedule'!F8)/('Income Statement'!F34)</f>
        <v>1.6670992091354193</v>
      </c>
    </row>
    <row r="93" spans="2:6" x14ac:dyDescent="0.2">
      <c r="B93" s="68" t="s">
        <v>151</v>
      </c>
    </row>
    <row r="95" spans="2:6" x14ac:dyDescent="0.2">
      <c r="B95" s="11" t="s">
        <v>57</v>
      </c>
      <c r="C95" s="59">
        <f>(C70*C87*(C57/C45))</f>
        <v>4.9229519225929615E-2</v>
      </c>
      <c r="D95" s="59">
        <f t="shared" ref="D95:F95" si="40">(D70*D87*(D57/D45))</f>
        <v>2.5567542602702342E-2</v>
      </c>
      <c r="E95" s="59">
        <f t="shared" si="40"/>
        <v>3.0544504289179437E-2</v>
      </c>
      <c r="F95" s="59">
        <f t="shared" si="40"/>
        <v>3.7927381865864418E-2</v>
      </c>
    </row>
    <row r="96" spans="2:6" x14ac:dyDescent="0.2">
      <c r="B96" s="11" t="s">
        <v>58</v>
      </c>
      <c r="C96" s="59">
        <f>C72*C76</f>
        <v>4.6823557661549352E-2</v>
      </c>
      <c r="D96" s="59">
        <f>D72*D76</f>
        <v>3.9215646367465835E-2</v>
      </c>
      <c r="E96" s="59">
        <f>E72*E76</f>
        <v>3.7960393422035763E-2</v>
      </c>
      <c r="F96" s="59">
        <f>F72*F76</f>
        <v>3.8271388660143062E-2</v>
      </c>
    </row>
    <row r="98" spans="2:6" x14ac:dyDescent="0.2">
      <c r="B98" s="68" t="s">
        <v>152</v>
      </c>
    </row>
    <row r="100" spans="2:6" x14ac:dyDescent="0.2">
      <c r="B100" s="11" t="s">
        <v>59</v>
      </c>
      <c r="C100" s="59">
        <f>(C70+(C70+((C48+C50)/('Balance Sheet'!C33+'Balance Sheet'!C36)))*('Balance Sheet'!C33+'Balance Sheet'!C36)/'Balance Sheet'!C28)*((C57/C52))</f>
        <v>4.9229519225929622E-2</v>
      </c>
      <c r="D100" s="59">
        <f>(D70+(D70+((D48+D50)/('Balance Sheet'!D33+'Balance Sheet'!D36)))*('Balance Sheet'!D33+'Balance Sheet'!D36)/'Balance Sheet'!D28)*((D57/D52))</f>
        <v>2.5567542602702342E-2</v>
      </c>
      <c r="E100" s="59">
        <f>(E70+(E70+((E48+E50)/('Balance Sheet'!E33+'Balance Sheet'!E36)))*('Balance Sheet'!E33+'Balance Sheet'!E36)/'Balance Sheet'!E28)*((E57/E52))</f>
        <v>3.0544504289179441E-2</v>
      </c>
      <c r="F100" s="59">
        <f>(F70+(F70+((F48+F50)/('Balance Sheet'!F33+'Balance Sheet'!F36)))*('Balance Sheet'!F33+'Balance Sheet'!F36)/'Balance Sheet'!F28)*((F57/F52))</f>
        <v>3.7927381865864418E-2</v>
      </c>
    </row>
  </sheetData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R57"/>
  <sheetViews>
    <sheetView showGridLines="0" zoomScaleNormal="100" workbookViewId="0">
      <selection activeCell="D28" sqref="D28"/>
    </sheetView>
  </sheetViews>
  <sheetFormatPr defaultRowHeight="12.75" x14ac:dyDescent="0.2"/>
  <cols>
    <col min="1" max="1" width="3.42578125" customWidth="1"/>
    <col min="2" max="2" width="47" customWidth="1"/>
    <col min="3" max="3" width="11.140625" customWidth="1"/>
    <col min="4" max="4" width="10.42578125" bestFit="1" customWidth="1"/>
    <col min="5" max="5" width="11.140625" customWidth="1"/>
    <col min="6" max="6" width="11.42578125" bestFit="1" customWidth="1"/>
    <col min="7" max="7" width="11.140625" customWidth="1"/>
    <col min="8" max="8" width="8.42578125" customWidth="1"/>
    <col min="9" max="18" width="10.5703125" bestFit="1" customWidth="1"/>
  </cols>
  <sheetData>
    <row r="2" spans="2:18" x14ac:dyDescent="0.2">
      <c r="B2" s="39" t="s">
        <v>60</v>
      </c>
    </row>
    <row r="4" spans="2:18" x14ac:dyDescent="0.2">
      <c r="B4" s="84" t="s">
        <v>10</v>
      </c>
      <c r="C4" s="83" t="str">
        <f>'Income Statement'!C4</f>
        <v>2021A</v>
      </c>
      <c r="D4" s="83" t="str">
        <f>'Income Statement'!D4</f>
        <v>2022A</v>
      </c>
      <c r="E4" s="83" t="str">
        <f>'Income Statement'!E4</f>
        <v>2023A</v>
      </c>
      <c r="F4" s="98" t="str">
        <f>'Income Statement'!F4</f>
        <v>2024A</v>
      </c>
      <c r="G4" s="99" t="s">
        <v>61</v>
      </c>
      <c r="H4" s="83" t="str">
        <f>'Income Statement'!G4</f>
        <v>2025E</v>
      </c>
      <c r="I4" s="83" t="str">
        <f>'Income Statement'!H4</f>
        <v>2026E</v>
      </c>
      <c r="J4" s="83" t="str">
        <f>'Income Statement'!I4</f>
        <v>2027E</v>
      </c>
      <c r="K4" s="83" t="str">
        <f>'Income Statement'!J4</f>
        <v>2028E</v>
      </c>
      <c r="L4" s="83" t="str">
        <f>'Income Statement'!K4</f>
        <v>2029E</v>
      </c>
      <c r="M4" s="83" t="str">
        <f>'Income Statement'!L4</f>
        <v>2030E</v>
      </c>
      <c r="N4" s="83" t="str">
        <f>'Income Statement'!M4</f>
        <v>2031E</v>
      </c>
      <c r="O4" s="83" t="str">
        <f>'Income Statement'!N4</f>
        <v>2032E</v>
      </c>
      <c r="P4" s="83" t="str">
        <f>'Income Statement'!O4</f>
        <v>2033E</v>
      </c>
      <c r="Q4" s="99" t="str">
        <f>'Income Statement'!P4</f>
        <v>2034E</v>
      </c>
      <c r="R4" s="98" t="str">
        <f>'Income Statement'!Q4</f>
        <v>2035E</v>
      </c>
    </row>
    <row r="5" spans="2:18" x14ac:dyDescent="0.2">
      <c r="G5" s="102"/>
    </row>
    <row r="6" spans="2:18" x14ac:dyDescent="0.2">
      <c r="B6" s="85" t="s">
        <v>62</v>
      </c>
      <c r="G6" s="102"/>
    </row>
    <row r="7" spans="2:18" x14ac:dyDescent="0.2">
      <c r="G7" s="102"/>
    </row>
    <row r="8" spans="2:18" x14ac:dyDescent="0.2">
      <c r="B8" s="188" t="s">
        <v>173</v>
      </c>
      <c r="C8" s="17">
        <f>C9+C10</f>
        <v>11.818516000000001</v>
      </c>
      <c r="D8" s="17">
        <f t="shared" ref="D8:R8" si="0">D9+D10</f>
        <v>12.027595</v>
      </c>
      <c r="E8" s="17">
        <f t="shared" si="0"/>
        <v>15.088257</v>
      </c>
      <c r="F8" s="17">
        <f t="shared" si="0"/>
        <v>21.478444</v>
      </c>
      <c r="G8" s="103">
        <f t="shared" si="0"/>
        <v>1.2735989999999999</v>
      </c>
      <c r="H8" s="17">
        <f t="shared" si="0"/>
        <v>1.3046365467749999</v>
      </c>
      <c r="I8" s="17">
        <f t="shared" si="0"/>
        <v>1.7767986048358746</v>
      </c>
      <c r="J8" s="17">
        <f t="shared" si="0"/>
        <v>2.3518588564836627</v>
      </c>
      <c r="K8" s="17">
        <f t="shared" si="0"/>
        <v>2.5515478422889566</v>
      </c>
      <c r="L8" s="17">
        <f t="shared" si="0"/>
        <v>3.0813697924651029</v>
      </c>
      <c r="M8" s="17">
        <f t="shared" si="0"/>
        <v>3.5316922318838988</v>
      </c>
      <c r="N8" s="17">
        <f t="shared" si="0"/>
        <v>4.0703055558806387</v>
      </c>
      <c r="O8" s="17">
        <f t="shared" si="0"/>
        <v>4.5610148341351078</v>
      </c>
      <c r="P8" s="17">
        <f t="shared" si="0"/>
        <v>5.1405348904341537</v>
      </c>
      <c r="Q8" s="17">
        <f t="shared" si="0"/>
        <v>5.8123798653732166</v>
      </c>
      <c r="R8" s="17">
        <f t="shared" si="0"/>
        <v>6.5856623639013598</v>
      </c>
    </row>
    <row r="9" spans="2:18" x14ac:dyDescent="0.2">
      <c r="B9" s="87" t="s">
        <v>190</v>
      </c>
      <c r="C9" s="17">
        <f>'PP&amp;E Schedule'!C9</f>
        <v>1.7690140000000001</v>
      </c>
      <c r="D9" s="17">
        <f>'PP&amp;E Schedule'!D9</f>
        <v>1.8239920000000001</v>
      </c>
      <c r="E9" s="17">
        <f>'PP&amp;E Schedule'!E9</f>
        <v>1.479654</v>
      </c>
      <c r="F9" s="17">
        <f>'PP&amp;E Schedule'!F9</f>
        <v>1.2735989999999999</v>
      </c>
      <c r="G9" s="103">
        <f>F9</f>
        <v>1.2735989999999999</v>
      </c>
      <c r="H9" s="17">
        <f>'PP&amp;E Schedule'!G9</f>
        <v>1.3046365467749999</v>
      </c>
      <c r="I9" s="17">
        <f>'PP&amp;E Schedule'!H9</f>
        <v>1.7767986048358746</v>
      </c>
      <c r="J9" s="17">
        <f>'PP&amp;E Schedule'!I9</f>
        <v>2.3518588564836627</v>
      </c>
      <c r="K9" s="17">
        <f>'PP&amp;E Schedule'!J9</f>
        <v>2.5515478422889566</v>
      </c>
      <c r="L9" s="17">
        <f>'PP&amp;E Schedule'!K9</f>
        <v>3.0813697924651029</v>
      </c>
      <c r="M9" s="17">
        <f>'PP&amp;E Schedule'!L9</f>
        <v>3.5316922318838988</v>
      </c>
      <c r="N9" s="17">
        <f>'PP&amp;E Schedule'!M9</f>
        <v>4.0703055558806387</v>
      </c>
      <c r="O9" s="17">
        <f>'PP&amp;E Schedule'!N9</f>
        <v>4.5610148341351078</v>
      </c>
      <c r="P9" s="17">
        <f>'PP&amp;E Schedule'!O9</f>
        <v>5.1405348904341537</v>
      </c>
      <c r="Q9" s="17">
        <f>'PP&amp;E Schedule'!P9</f>
        <v>5.8123798653732166</v>
      </c>
      <c r="R9" s="17">
        <f>'PP&amp;E Schedule'!Q9</f>
        <v>6.5856623639013598</v>
      </c>
    </row>
    <row r="10" spans="2:18" x14ac:dyDescent="0.2">
      <c r="B10" s="87" t="s">
        <v>191</v>
      </c>
      <c r="C10" s="233">
        <v>10.049502</v>
      </c>
      <c r="D10" s="233">
        <v>10.203602999999999</v>
      </c>
      <c r="E10" s="233">
        <v>13.608603</v>
      </c>
      <c r="F10" s="233">
        <v>20.204844999999999</v>
      </c>
      <c r="G10" s="91">
        <v>0</v>
      </c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2:18" x14ac:dyDescent="0.2">
      <c r="B11" s="87"/>
      <c r="C11" s="17"/>
      <c r="D11" s="17"/>
      <c r="E11" s="17"/>
      <c r="F11" s="17"/>
      <c r="G11" s="103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2:18" x14ac:dyDescent="0.2">
      <c r="B12" s="86" t="s">
        <v>63</v>
      </c>
      <c r="G12" s="136">
        <f>+G24-G14-G8-G22</f>
        <v>9.8611891442801038</v>
      </c>
      <c r="H12" s="17">
        <f t="shared" ref="H12:R12" si="1">G12</f>
        <v>9.8611891442801038</v>
      </c>
      <c r="I12" s="17">
        <f t="shared" si="1"/>
        <v>9.8611891442801038</v>
      </c>
      <c r="J12" s="17">
        <f t="shared" si="1"/>
        <v>9.8611891442801038</v>
      </c>
      <c r="K12" s="17">
        <f t="shared" si="1"/>
        <v>9.8611891442801038</v>
      </c>
      <c r="L12" s="17">
        <f t="shared" si="1"/>
        <v>9.8611891442801038</v>
      </c>
      <c r="M12" s="17">
        <f t="shared" si="1"/>
        <v>9.8611891442801038</v>
      </c>
      <c r="N12" s="17">
        <f t="shared" si="1"/>
        <v>9.8611891442801038</v>
      </c>
      <c r="O12" s="17">
        <f t="shared" si="1"/>
        <v>9.8611891442801038</v>
      </c>
      <c r="P12" s="17">
        <f t="shared" si="1"/>
        <v>9.8611891442801038</v>
      </c>
      <c r="Q12" s="17">
        <f t="shared" si="1"/>
        <v>9.8611891442801038</v>
      </c>
      <c r="R12" s="17">
        <f t="shared" si="1"/>
        <v>9.8611891442801038</v>
      </c>
    </row>
    <row r="13" spans="2:18" x14ac:dyDescent="0.2">
      <c r="B13" s="86"/>
      <c r="G13" s="136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2:18" x14ac:dyDescent="0.2">
      <c r="B14" s="188" t="s">
        <v>171</v>
      </c>
      <c r="C14" s="216">
        <f>SUM(C15+C16+C17+C18)</f>
        <v>14.042827000000003</v>
      </c>
      <c r="D14" s="216">
        <f t="shared" ref="D14:F14" si="2">SUM(D15+D16+D17+D18)</f>
        <v>9.8792479999999969</v>
      </c>
      <c r="E14" s="216">
        <f t="shared" si="2"/>
        <v>17.753461000000001</v>
      </c>
      <c r="F14" s="216">
        <f t="shared" si="2"/>
        <v>13.745505</v>
      </c>
      <c r="G14" s="94">
        <f>F14</f>
        <v>13.745505</v>
      </c>
      <c r="H14" s="93">
        <f>SUM(H15+H16+H17+H18)</f>
        <v>12.090727765297943</v>
      </c>
      <c r="I14" s="93">
        <f t="shared" ref="I14:R14" si="3">SUM(I15+I16+I17+I18)</f>
        <v>13.481161458307211</v>
      </c>
      <c r="J14" s="93">
        <f t="shared" si="3"/>
        <v>15.031495026012536</v>
      </c>
      <c r="K14" s="93">
        <f t="shared" si="3"/>
        <v>16.727117867826326</v>
      </c>
      <c r="L14" s="93">
        <f t="shared" si="3"/>
        <v>18.483465243948089</v>
      </c>
      <c r="M14" s="93">
        <f t="shared" si="3"/>
        <v>20.404082739962604</v>
      </c>
      <c r="N14" s="93">
        <f t="shared" si="3"/>
        <v>22.444491013958864</v>
      </c>
      <c r="O14" s="93">
        <f t="shared" si="3"/>
        <v>24.664563026288715</v>
      </c>
      <c r="P14" s="93">
        <f t="shared" si="3"/>
        <v>27.007696513786136</v>
      </c>
      <c r="Q14" s="93">
        <f t="shared" si="3"/>
        <v>29.544198943378412</v>
      </c>
      <c r="R14" s="93">
        <f t="shared" si="3"/>
        <v>32.203176848282475</v>
      </c>
    </row>
    <row r="15" spans="2:18" x14ac:dyDescent="0.2">
      <c r="B15" s="87" t="s">
        <v>64</v>
      </c>
      <c r="C15" s="45">
        <v>14.368814</v>
      </c>
      <c r="D15" s="45">
        <f>(9.278296+0.125)</f>
        <v>9.4032959999999992</v>
      </c>
      <c r="E15" s="45">
        <f>(14.034211+0.1)</f>
        <v>14.134211000000001</v>
      </c>
      <c r="F15" s="45">
        <f>(9.304304+0.075)</f>
        <v>9.3793039999999994</v>
      </c>
      <c r="G15" s="102"/>
      <c r="H15" s="17">
        <f>(H46/365)*'Income Statement'!G10</f>
        <v>9.5650928726027384</v>
      </c>
      <c r="I15" s="17">
        <f>(I46/365)*'Income Statement'!H10</f>
        <v>10.665078552952055</v>
      </c>
      <c r="J15" s="17">
        <f>(J46/365)*'Income Statement'!I10</f>
        <v>11.891562586541541</v>
      </c>
      <c r="K15" s="17">
        <f>(K46/365)*'Income Statement'!J10</f>
        <v>13.140176658128402</v>
      </c>
      <c r="L15" s="17">
        <f>(L46/365)*'Income Statement'!K10</f>
        <v>14.519895207231885</v>
      </c>
      <c r="M15" s="17">
        <f>(M46/365)*'Income Statement'!L10</f>
        <v>15.971884727955073</v>
      </c>
      <c r="N15" s="17">
        <f>(N46/365)*'Income Statement'!M10</f>
        <v>17.56907320075058</v>
      </c>
      <c r="O15" s="17">
        <f>(O46/365)*'Income Statement'!N10</f>
        <v>19.238135154821887</v>
      </c>
      <c r="P15" s="17">
        <f>(P46/365)*'Income Statement'!O10</f>
        <v>21.065757994529964</v>
      </c>
      <c r="Q15" s="17">
        <f>(Q46/365)*'Income Statement'!P10</f>
        <v>22.961676214037666</v>
      </c>
      <c r="R15" s="17">
        <f>(R46/365)*'Income Statement'!Q10</f>
        <v>25.028227073301057</v>
      </c>
    </row>
    <row r="16" spans="2:18" x14ac:dyDescent="0.2">
      <c r="B16" s="87" t="s">
        <v>160</v>
      </c>
      <c r="C16" s="45">
        <v>6.9443989999999998</v>
      </c>
      <c r="D16" s="45">
        <v>14.089216</v>
      </c>
      <c r="E16" s="45">
        <v>15.073464</v>
      </c>
      <c r="F16" s="45">
        <v>10.939181</v>
      </c>
      <c r="G16" s="102"/>
      <c r="H16" s="17">
        <f>(H48/365)*'Income Statement'!F10</f>
        <v>9.4364144931506839</v>
      </c>
      <c r="I16" s="17">
        <f>(I48/365)*'Income Statement'!G10</f>
        <v>10.521602159863013</v>
      </c>
      <c r="J16" s="17">
        <f>(J48/365)*'Income Statement'!H10</f>
        <v>11.73158640824726</v>
      </c>
      <c r="K16" s="17">
        <f>(K48/365)*'Income Statement'!I10</f>
        <v>13.080718845195696</v>
      </c>
      <c r="L16" s="17">
        <f>(L48/365)*'Income Statement'!J10</f>
        <v>14.454194323941243</v>
      </c>
      <c r="M16" s="17">
        <f>(M48/365)*'Income Statement'!K10</f>
        <v>15.971884727955073</v>
      </c>
      <c r="N16" s="17">
        <f>(N48/365)*'Income Statement'!L10</f>
        <v>17.56907320075058</v>
      </c>
      <c r="O16" s="17">
        <f>(O48/365)*'Income Statement'!M10</f>
        <v>19.325980520825638</v>
      </c>
      <c r="P16" s="17">
        <f>(P48/365)*'Income Statement'!N10</f>
        <v>21.161948670304074</v>
      </c>
      <c r="Q16" s="17">
        <f>(Q48/365)*'Income Statement'!O10</f>
        <v>23.172333793982961</v>
      </c>
      <c r="R16" s="17">
        <f>(R48/365)*'Income Statement'!P10</f>
        <v>25.257843835441431</v>
      </c>
    </row>
    <row r="17" spans="2:18" x14ac:dyDescent="0.2">
      <c r="B17" s="96" t="s">
        <v>70</v>
      </c>
      <c r="C17" s="97">
        <v>-4.0632659999999996</v>
      </c>
      <c r="D17" s="97">
        <v>-4.2638290000000003</v>
      </c>
      <c r="E17" s="97">
        <v>-3.926374</v>
      </c>
      <c r="F17" s="97">
        <v>-3.3401999999999998</v>
      </c>
      <c r="G17" s="91"/>
      <c r="H17" s="33">
        <f>(H47/365)*+'Income Statement'!G16</f>
        <v>-3.3716952375924651</v>
      </c>
      <c r="I17" s="33">
        <f>(I47/365)*+'Income Statement'!H16</f>
        <v>-3.7594401899155989</v>
      </c>
      <c r="J17" s="33">
        <f>(J47/365)*+'Income Statement'!I16</f>
        <v>-4.1917758117558934</v>
      </c>
      <c r="K17" s="33">
        <f>(K47/365)*+'Income Statement'!J16</f>
        <v>-4.6319122719902612</v>
      </c>
      <c r="L17" s="33">
        <f>(L47/365)*+'Income Statement'!K16</f>
        <v>-5.1182630605492383</v>
      </c>
      <c r="M17" s="33">
        <f>(M47/365)*+'Income Statement'!L16</f>
        <v>-5.6300893666041629</v>
      </c>
      <c r="N17" s="33">
        <f>(N47/365)*+'Income Statement'!M16</f>
        <v>-6.1930983032645797</v>
      </c>
      <c r="O17" s="33">
        <f>(O47/365)*+'Income Statement'!N16</f>
        <v>-6.7814426420747145</v>
      </c>
      <c r="P17" s="33">
        <f>(P47/365)*+'Income Statement'!O16</f>
        <v>-7.4256796930718121</v>
      </c>
      <c r="Q17" s="33">
        <f>(Q47/365)*+'Income Statement'!P16</f>
        <v>-8.0939908654482764</v>
      </c>
      <c r="R17" s="33">
        <f>(R47/365)*+'Income Statement'!Q16</f>
        <v>-8.8224500433386215</v>
      </c>
    </row>
    <row r="18" spans="2:18" x14ac:dyDescent="0.2">
      <c r="B18" s="96" t="s">
        <v>194</v>
      </c>
      <c r="C18" s="97">
        <v>-3.2071200000000002</v>
      </c>
      <c r="D18" s="97">
        <v>-9.3494349999999997</v>
      </c>
      <c r="E18" s="97">
        <v>-7.5278400000000003</v>
      </c>
      <c r="F18" s="97">
        <v>-3.23278</v>
      </c>
      <c r="G18" s="91"/>
      <c r="H18" s="33">
        <f>-(H49/365)*'Income Statement'!G10</f>
        <v>-3.5390843628630138</v>
      </c>
      <c r="I18" s="33">
        <f>-(I49/365)*'Income Statement'!H10</f>
        <v>-3.9460790645922601</v>
      </c>
      <c r="J18" s="33">
        <f>-(J49/365)*'Income Statement'!I10</f>
        <v>-4.3998781570203702</v>
      </c>
      <c r="K18" s="33">
        <f>-(K49/365)*'Income Statement'!J10</f>
        <v>-4.8618653635075093</v>
      </c>
      <c r="L18" s="33">
        <f>-(L49/365)*'Income Statement'!K10</f>
        <v>-5.3723612266757979</v>
      </c>
      <c r="M18" s="33">
        <f>-(M49/365)*'Income Statement'!L10</f>
        <v>-5.9095973493433771</v>
      </c>
      <c r="N18" s="33">
        <f>-(N49/365)*'Income Statement'!M10</f>
        <v>-6.5005570842777152</v>
      </c>
      <c r="O18" s="33">
        <f>-(O49/365)*'Income Statement'!N10</f>
        <v>-7.1181100072840984</v>
      </c>
      <c r="P18" s="33">
        <f>-(P49/365)*'Income Statement'!O10</f>
        <v>-7.7943304579760877</v>
      </c>
      <c r="Q18" s="33">
        <f>-(Q49/365)*'Income Statement'!P10</f>
        <v>-8.4958201991939362</v>
      </c>
      <c r="R18" s="33">
        <f>-(R49/365)*'Income Statement'!Q10</f>
        <v>-9.260444017121392</v>
      </c>
    </row>
    <row r="19" spans="2:18" ht="11.25" customHeight="1" x14ac:dyDescent="0.2">
      <c r="B19" s="96"/>
      <c r="C19" s="97"/>
      <c r="D19" s="97"/>
      <c r="E19" s="97"/>
      <c r="F19" s="97"/>
      <c r="G19" s="91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</row>
    <row r="20" spans="2:18" ht="11.25" customHeight="1" x14ac:dyDescent="0.2">
      <c r="B20" s="235" t="s">
        <v>197</v>
      </c>
      <c r="C20" s="97">
        <v>18.294622</v>
      </c>
      <c r="D20" s="97">
        <v>20.570284000000001</v>
      </c>
      <c r="E20" s="97">
        <v>20.826958000000001</v>
      </c>
      <c r="F20" s="97">
        <v>20.383106999999999</v>
      </c>
      <c r="G20" s="91">
        <v>0</v>
      </c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</row>
    <row r="21" spans="2:18" ht="11.25" customHeight="1" x14ac:dyDescent="0.2">
      <c r="B21" s="32"/>
      <c r="C21" s="97"/>
      <c r="D21" s="97"/>
      <c r="E21" s="97"/>
      <c r="F21" s="97"/>
      <c r="G21" s="91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2:18" x14ac:dyDescent="0.2">
      <c r="B22" s="235" t="s">
        <v>193</v>
      </c>
      <c r="C22" s="97">
        <v>1.4539610000000001</v>
      </c>
      <c r="D22" s="97">
        <v>1.7432840000000001</v>
      </c>
      <c r="E22" s="97">
        <v>-0.46382699999999999</v>
      </c>
      <c r="F22" s="97">
        <v>-0.34556500000000001</v>
      </c>
      <c r="G22" s="91">
        <f>F22</f>
        <v>-0.34556500000000001</v>
      </c>
      <c r="H22" s="33">
        <f>F22*(1.03)</f>
        <v>-0.35593195</v>
      </c>
      <c r="I22" s="33">
        <f>H22*(1.03)</f>
        <v>-0.36660990850000003</v>
      </c>
      <c r="J22" s="33">
        <f t="shared" ref="J22:R22" si="4">I22*(1.03)</f>
        <v>-0.37760820575500004</v>
      </c>
      <c r="K22" s="33">
        <f t="shared" si="4"/>
        <v>-0.38893645192765003</v>
      </c>
      <c r="L22" s="33">
        <f t="shared" si="4"/>
        <v>-0.40060454548547952</v>
      </c>
      <c r="M22" s="33">
        <f t="shared" si="4"/>
        <v>-0.41262268185004392</v>
      </c>
      <c r="N22" s="33">
        <f t="shared" si="4"/>
        <v>-0.42500136230554525</v>
      </c>
      <c r="O22" s="33">
        <f t="shared" si="4"/>
        <v>-0.43775140317471162</v>
      </c>
      <c r="P22" s="33">
        <f t="shared" si="4"/>
        <v>-0.45088394526995296</v>
      </c>
      <c r="Q22" s="33">
        <f t="shared" si="4"/>
        <v>-0.46441046362805155</v>
      </c>
      <c r="R22" s="33">
        <f t="shared" si="4"/>
        <v>-0.47834277753689308</v>
      </c>
    </row>
    <row r="23" spans="2:18" x14ac:dyDescent="0.2">
      <c r="G23" s="104"/>
    </row>
    <row r="24" spans="2:18" ht="13.5" customHeight="1" thickBot="1" x14ac:dyDescent="0.25">
      <c r="B24" s="88" t="s">
        <v>192</v>
      </c>
      <c r="C24" s="89">
        <f>+C8+C14+C22+C20</f>
        <v>45.609926000000002</v>
      </c>
      <c r="D24" s="89">
        <f t="shared" ref="D24:F24" si="5">+D8+D14+D22+D20</f>
        <v>44.220410999999999</v>
      </c>
      <c r="E24" s="89">
        <f t="shared" si="5"/>
        <v>53.204848999999996</v>
      </c>
      <c r="F24" s="89">
        <f t="shared" si="5"/>
        <v>55.261490999999992</v>
      </c>
      <c r="G24" s="90">
        <f>+G40</f>
        <v>24.534728144280102</v>
      </c>
      <c r="H24" s="89">
        <f>+H8+H14+H12+H22</f>
        <v>22.900621506353048</v>
      </c>
      <c r="I24" s="89">
        <f t="shared" ref="I24:R24" si="6">+I8+I14+I12+I22</f>
        <v>24.752539298923192</v>
      </c>
      <c r="J24" s="89">
        <f t="shared" si="6"/>
        <v>26.866934821021303</v>
      </c>
      <c r="K24" s="89">
        <f t="shared" si="6"/>
        <v>28.75091840246774</v>
      </c>
      <c r="L24" s="89">
        <f t="shared" si="6"/>
        <v>31.025419635207818</v>
      </c>
      <c r="M24" s="89">
        <f t="shared" si="6"/>
        <v>33.384341434276557</v>
      </c>
      <c r="N24" s="89">
        <f t="shared" si="6"/>
        <v>35.950984351814064</v>
      </c>
      <c r="O24" s="89">
        <f t="shared" si="6"/>
        <v>38.649015601529221</v>
      </c>
      <c r="P24" s="89">
        <f t="shared" si="6"/>
        <v>41.558536603230444</v>
      </c>
      <c r="Q24" s="89">
        <f t="shared" si="6"/>
        <v>44.753357489403683</v>
      </c>
      <c r="R24" s="89">
        <f t="shared" si="6"/>
        <v>48.17168557892704</v>
      </c>
    </row>
    <row r="25" spans="2:18" ht="13.5" customHeight="1" thickTop="1" x14ac:dyDescent="0.2">
      <c r="G25" s="105"/>
    </row>
    <row r="26" spans="2:18" x14ac:dyDescent="0.2">
      <c r="B26" s="85" t="s">
        <v>65</v>
      </c>
      <c r="C26" s="33"/>
      <c r="D26" s="33"/>
      <c r="E26" s="33"/>
      <c r="F26" s="33"/>
      <c r="G26" s="91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</row>
    <row r="27" spans="2:18" x14ac:dyDescent="0.2">
      <c r="B27" s="92"/>
      <c r="C27" s="33"/>
      <c r="D27" s="33"/>
      <c r="E27" s="33"/>
      <c r="F27" s="33"/>
      <c r="G27" s="91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</row>
    <row r="28" spans="2:18" x14ac:dyDescent="0.2">
      <c r="B28" s="235" t="s">
        <v>66</v>
      </c>
      <c r="C28" s="93">
        <f>SUM(C29:C31)</f>
        <v>50.028114000000002</v>
      </c>
      <c r="D28" s="93">
        <f>SUM(D29:D31)</f>
        <v>50.581356999999997</v>
      </c>
      <c r="E28" s="93">
        <f>SUM(E29:E31)</f>
        <v>52.175016000000006</v>
      </c>
      <c r="F28" s="93">
        <f>SUM(F29:F31)</f>
        <v>53.608234999999993</v>
      </c>
      <c r="G28" s="94">
        <f>'LBO Model'!D12</f>
        <v>12.158959644280113</v>
      </c>
      <c r="H28" s="93">
        <f>G28+H30</f>
        <v>14.270070251571221</v>
      </c>
      <c r="I28" s="93">
        <f t="shared" ref="I28:R28" si="7">H28+I30</f>
        <v>16.714058609182025</v>
      </c>
      <c r="J28" s="93">
        <f t="shared" si="7"/>
        <v>19.52622071839928</v>
      </c>
      <c r="K28" s="93">
        <f t="shared" si="7"/>
        <v>22.721383377784584</v>
      </c>
      <c r="L28" s="93">
        <f t="shared" si="7"/>
        <v>26.357757805105585</v>
      </c>
      <c r="M28" s="93">
        <f t="shared" si="7"/>
        <v>30.464161292968434</v>
      </c>
      <c r="N28" s="93">
        <f t="shared" si="7"/>
        <v>35.151815395487318</v>
      </c>
      <c r="O28" s="93">
        <f t="shared" si="7"/>
        <v>40.519705378136564</v>
      </c>
      <c r="P28" s="93">
        <f t="shared" si="7"/>
        <v>46.397544909137487</v>
      </c>
      <c r="Q28" s="93">
        <f t="shared" si="7"/>
        <v>52.804389997928496</v>
      </c>
      <c r="R28" s="93">
        <f t="shared" si="7"/>
        <v>59.787851144710686</v>
      </c>
    </row>
    <row r="29" spans="2:18" x14ac:dyDescent="0.2">
      <c r="B29" s="92" t="s">
        <v>67</v>
      </c>
      <c r="C29" s="232">
        <v>3</v>
      </c>
      <c r="D29" s="232">
        <v>3</v>
      </c>
      <c r="E29" s="232">
        <v>3</v>
      </c>
      <c r="F29" s="232">
        <v>3</v>
      </c>
      <c r="G29" s="91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</row>
    <row r="30" spans="2:18" x14ac:dyDescent="0.2">
      <c r="B30" s="92" t="s">
        <v>68</v>
      </c>
      <c r="C30" s="231">
        <f>'Income Statement'!C57</f>
        <v>2.4628599999999987</v>
      </c>
      <c r="D30" s="231">
        <f>'Income Statement'!D57</f>
        <v>1.2932409999999961</v>
      </c>
      <c r="E30" s="231">
        <f>'Income Statement'!E57</f>
        <v>1.5936600000000061</v>
      </c>
      <c r="F30" s="231">
        <f>'Income Statement'!F57</f>
        <v>2.0332199999999978</v>
      </c>
      <c r="G30" s="91"/>
      <c r="H30" s="33">
        <f>'Income Statement'!G57</f>
        <v>2.1111106072911086</v>
      </c>
      <c r="I30" s="33">
        <f>'Income Statement'!H57</f>
        <v>2.4439883576108024</v>
      </c>
      <c r="J30" s="33">
        <f>'Income Statement'!I57</f>
        <v>2.8121621092172564</v>
      </c>
      <c r="K30" s="33">
        <f>'Income Statement'!J57</f>
        <v>3.1951626593853031</v>
      </c>
      <c r="L30" s="33">
        <f>'Income Statement'!K57</f>
        <v>3.6363744273210026</v>
      </c>
      <c r="M30" s="33">
        <f>'Income Statement'!L57</f>
        <v>4.1064034878628473</v>
      </c>
      <c r="N30" s="33">
        <f>'Income Statement'!M57</f>
        <v>4.6876541025188843</v>
      </c>
      <c r="O30" s="33">
        <f>'Income Statement'!N57</f>
        <v>5.3678899826492454</v>
      </c>
      <c r="P30" s="33">
        <f>'Income Statement'!O57</f>
        <v>5.8778395310009248</v>
      </c>
      <c r="Q30" s="33">
        <f>'Income Statement'!P57</f>
        <v>6.4068450887910098</v>
      </c>
      <c r="R30" s="33">
        <f>'Income Statement'!Q57</f>
        <v>6.9834611467821937</v>
      </c>
    </row>
    <row r="31" spans="2:18" x14ac:dyDescent="0.2">
      <c r="B31" s="92" t="s">
        <v>195</v>
      </c>
      <c r="C31" s="232">
        <v>44.565254000000003</v>
      </c>
      <c r="D31" s="232">
        <v>46.288116000000002</v>
      </c>
      <c r="E31" s="232">
        <f>(46.981326+0.60003)</f>
        <v>47.581356</v>
      </c>
      <c r="F31" s="232">
        <f>(47.974985+0.60003)</f>
        <v>48.575014999999993</v>
      </c>
      <c r="G31" s="91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</row>
    <row r="32" spans="2:18" x14ac:dyDescent="0.2">
      <c r="B32" s="92"/>
      <c r="C32" s="33"/>
      <c r="D32" s="33"/>
      <c r="E32" s="33"/>
      <c r="F32" s="33"/>
      <c r="G32" s="91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</row>
    <row r="33" spans="2:18" x14ac:dyDescent="0.2">
      <c r="B33" s="235" t="s">
        <v>172</v>
      </c>
      <c r="C33" s="33">
        <f>('Debt Schedule'!C8)-(C34)</f>
        <v>-4.9363999999999999</v>
      </c>
      <c r="D33" s="33">
        <f>('Debt Schedule'!D8)-(D34)</f>
        <v>-6.8962319999999968</v>
      </c>
      <c r="E33" s="33">
        <f>('Debt Schedule'!E8)-(E34)</f>
        <v>0.50134299999999676</v>
      </c>
      <c r="F33" s="33">
        <f>('Debt Schedule'!F8)-(F34)</f>
        <v>1.1792090000000086</v>
      </c>
      <c r="G33" s="94">
        <f>'LBO Model'!D8</f>
        <v>11.90172149999999</v>
      </c>
      <c r="H33" s="33">
        <f>'LBO Model'!C56-'Cash Flow Statement'!G34</f>
        <v>8.1230972513043245</v>
      </c>
      <c r="I33" s="33">
        <f>'LBO Model'!D56-'Cash Flow Statement'!H34</f>
        <v>7.4929335413253533</v>
      </c>
      <c r="J33" s="33">
        <f>'LBO Model'!E56-'Cash Flow Statement'!I34</f>
        <v>6.7518825349815303</v>
      </c>
      <c r="K33" s="33">
        <f>'LBO Model'!F56-'Cash Flow Statement'!J34</f>
        <v>5.3923142525450265</v>
      </c>
      <c r="L33" s="33">
        <f>'LBO Model'!G56-'Cash Flow Statement'!K34</f>
        <v>3.9764334625900375</v>
      </c>
      <c r="M33" s="33">
        <f>'LBO Model'!H56-'Cash Flow Statement'!L34</f>
        <v>2.16915483961087</v>
      </c>
      <c r="N33" s="33">
        <f>'LBO Model'!I56-'Cash Flow Statement'!M34</f>
        <v>-1.8006009076735552E-2</v>
      </c>
      <c r="O33" s="33">
        <f>'LBO Model'!J56-'Cash Flow Statement'!N34</f>
        <v>-2.7605065333673422</v>
      </c>
      <c r="P33" s="33">
        <f>'LBO Model'!K56-'Cash Flow Statement'!O34</f>
        <v>-5.8085674174166879</v>
      </c>
      <c r="Q33" s="33">
        <f>'LBO Model'!L56-'Cash Flow Statement'!P34</f>
        <v>-9.1075244328459277</v>
      </c>
      <c r="R33" s="33">
        <f>'LBO Model'!M56-'Cash Flow Statement'!Q34</f>
        <v>-12.76742735635824</v>
      </c>
    </row>
    <row r="34" spans="2:18" x14ac:dyDescent="0.2">
      <c r="B34" s="92" t="s">
        <v>196</v>
      </c>
      <c r="C34" s="232">
        <v>5.6323429999999997</v>
      </c>
      <c r="D34" s="231">
        <f>'Cash Flow Statement'!D34</f>
        <v>7.0728959999999965</v>
      </c>
      <c r="E34" s="231">
        <f>'Cash Flow Statement'!E34</f>
        <v>2.4563630000000032</v>
      </c>
      <c r="F34" s="231">
        <f>'Cash Flow Statement'!F34</f>
        <v>3.229979999999991</v>
      </c>
      <c r="G34" s="94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</row>
    <row r="35" spans="2:18" x14ac:dyDescent="0.2">
      <c r="B35" s="96"/>
      <c r="C35" s="33"/>
      <c r="D35" s="33"/>
      <c r="E35" s="33"/>
      <c r="F35" s="33"/>
      <c r="G35" s="94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</row>
    <row r="36" spans="2:18" x14ac:dyDescent="0.2">
      <c r="B36" s="235" t="s">
        <v>198</v>
      </c>
      <c r="C36" s="232">
        <v>0.51821200000000001</v>
      </c>
      <c r="D36" s="232">
        <v>0.53528600000000004</v>
      </c>
      <c r="E36" s="232">
        <v>0.52849000000000002</v>
      </c>
      <c r="F36" s="232">
        <v>0.474047</v>
      </c>
      <c r="G36" s="94">
        <f>F36</f>
        <v>0.474047</v>
      </c>
      <c r="H36" s="33">
        <f>'Debt Schedule'!C20</f>
        <v>0.50745400347750003</v>
      </c>
      <c r="I36" s="33">
        <f>'Debt Schedule'!D20</f>
        <v>0.54554714841581253</v>
      </c>
      <c r="J36" s="33">
        <f>'Debt Schedule'!E20</f>
        <v>0.58883156764049505</v>
      </c>
      <c r="K36" s="33">
        <f>'Debt Schedule'!F20</f>
        <v>0.63722077213812822</v>
      </c>
      <c r="L36" s="33">
        <f>'Debt Schedule'!G20</f>
        <v>0.69122836751219763</v>
      </c>
      <c r="M36" s="33">
        <f>'Debt Schedule'!H20</f>
        <v>0.75102530169726378</v>
      </c>
      <c r="N36" s="33">
        <f>'Debt Schedule'!I20</f>
        <v>0.81717496540348267</v>
      </c>
      <c r="O36" s="33">
        <f>'Debt Schedule'!J20</f>
        <v>0.88981675675999317</v>
      </c>
      <c r="P36" s="33">
        <f>'Debt Schedule'!K20</f>
        <v>0.96955911150964513</v>
      </c>
      <c r="Q36" s="33">
        <f>'Debt Schedule'!L20</f>
        <v>1.0564919243211155</v>
      </c>
      <c r="R36" s="33">
        <f>'Debt Schedule'!M20</f>
        <v>1.1512617905745941</v>
      </c>
    </row>
    <row r="37" spans="2:18" x14ac:dyDescent="0.2">
      <c r="B37" s="92"/>
      <c r="C37" s="33"/>
      <c r="D37" s="33"/>
      <c r="E37" s="33"/>
      <c r="F37" s="33"/>
      <c r="G37" s="91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</row>
    <row r="38" spans="2:18" x14ac:dyDescent="0.2">
      <c r="B38" s="235" t="s">
        <v>69</v>
      </c>
      <c r="C38" s="30"/>
      <c r="D38" s="30"/>
      <c r="E38" s="30"/>
      <c r="F38" s="30"/>
      <c r="G38" s="95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</row>
    <row r="39" spans="2:18" x14ac:dyDescent="0.2">
      <c r="B39" s="92"/>
      <c r="C39" s="33"/>
      <c r="D39" s="33"/>
      <c r="E39" s="33"/>
      <c r="F39" s="33"/>
      <c r="G39" s="91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</row>
    <row r="40" spans="2:18" ht="13.5" customHeight="1" thickBot="1" x14ac:dyDescent="0.25">
      <c r="B40" s="88" t="s">
        <v>71</v>
      </c>
      <c r="C40" s="89">
        <f>C28+C33+C36+C38</f>
        <v>45.609926000000002</v>
      </c>
      <c r="D40" s="89">
        <f>D28+D33+D36+D38</f>
        <v>44.220410999999999</v>
      </c>
      <c r="E40" s="89">
        <f>E28+E33+E36+E38</f>
        <v>53.204849000000003</v>
      </c>
      <c r="F40" s="234">
        <f>F28+F33+F36+F38</f>
        <v>55.261490999999999</v>
      </c>
      <c r="G40" s="90">
        <f>G28+G33+G36</f>
        <v>24.534728144280102</v>
      </c>
      <c r="H40" s="90">
        <f>H28+H33+H36</f>
        <v>22.900621506353044</v>
      </c>
      <c r="I40" s="90">
        <f t="shared" ref="I40:R40" si="8">I28+I33+I36</f>
        <v>24.752539298923192</v>
      </c>
      <c r="J40" s="90">
        <f t="shared" si="8"/>
        <v>26.866934821021303</v>
      </c>
      <c r="K40" s="90">
        <f t="shared" si="8"/>
        <v>28.75091840246774</v>
      </c>
      <c r="L40" s="90">
        <f t="shared" si="8"/>
        <v>31.025419635207822</v>
      </c>
      <c r="M40" s="90">
        <f t="shared" si="8"/>
        <v>33.384341434276564</v>
      </c>
      <c r="N40" s="90">
        <f t="shared" si="8"/>
        <v>35.950984351814064</v>
      </c>
      <c r="O40" s="90">
        <f t="shared" si="8"/>
        <v>38.649015601529214</v>
      </c>
      <c r="P40" s="90">
        <f t="shared" si="8"/>
        <v>41.558536603230444</v>
      </c>
      <c r="Q40" s="90">
        <f t="shared" si="8"/>
        <v>44.753357489403683</v>
      </c>
      <c r="R40" s="90">
        <f t="shared" si="8"/>
        <v>48.17168557892704</v>
      </c>
    </row>
    <row r="41" spans="2:18" ht="13.5" customHeight="1" thickTop="1" x14ac:dyDescent="0.2">
      <c r="B41" s="118" t="s">
        <v>72</v>
      </c>
      <c r="C41" s="119">
        <f t="shared" ref="C41:R41" si="9">+C24-C40</f>
        <v>0</v>
      </c>
      <c r="D41" s="119">
        <f t="shared" si="9"/>
        <v>0</v>
      </c>
      <c r="E41" s="119">
        <f t="shared" si="9"/>
        <v>0</v>
      </c>
      <c r="F41" s="119">
        <f t="shared" si="9"/>
        <v>0</v>
      </c>
      <c r="G41" s="119">
        <f t="shared" si="9"/>
        <v>0</v>
      </c>
      <c r="H41" s="119">
        <f t="shared" si="9"/>
        <v>0</v>
      </c>
      <c r="I41" s="119">
        <f t="shared" si="9"/>
        <v>0</v>
      </c>
      <c r="J41" s="119">
        <f t="shared" si="9"/>
        <v>0</v>
      </c>
      <c r="K41" s="119">
        <f t="shared" si="9"/>
        <v>0</v>
      </c>
      <c r="L41" s="119">
        <f t="shared" si="9"/>
        <v>0</v>
      </c>
      <c r="M41" s="119">
        <f t="shared" si="9"/>
        <v>0</v>
      </c>
      <c r="N41" s="119">
        <f t="shared" si="9"/>
        <v>0</v>
      </c>
      <c r="O41" s="119">
        <f t="shared" si="9"/>
        <v>0</v>
      </c>
      <c r="P41" s="119">
        <f t="shared" si="9"/>
        <v>0</v>
      </c>
      <c r="Q41" s="119">
        <f t="shared" si="9"/>
        <v>0</v>
      </c>
      <c r="R41" s="119">
        <f t="shared" si="9"/>
        <v>0</v>
      </c>
    </row>
    <row r="44" spans="2:18" x14ac:dyDescent="0.2">
      <c r="B44" s="106" t="s">
        <v>154</v>
      </c>
      <c r="C44" s="107" t="str">
        <f>'Income Statement'!C4</f>
        <v>2021A</v>
      </c>
      <c r="D44" s="107" t="str">
        <f>'Income Statement'!D4</f>
        <v>2022A</v>
      </c>
      <c r="E44" s="107" t="str">
        <f>'Income Statement'!E4</f>
        <v>2023A</v>
      </c>
      <c r="F44" s="107" t="str">
        <f>'Income Statement'!F4</f>
        <v>2024A</v>
      </c>
      <c r="G44" s="107"/>
      <c r="H44" s="107" t="str">
        <f>'Income Statement'!G4</f>
        <v>2025E</v>
      </c>
      <c r="I44" s="107" t="str">
        <f>'Income Statement'!H4</f>
        <v>2026E</v>
      </c>
      <c r="J44" s="107" t="str">
        <f>'Income Statement'!I4</f>
        <v>2027E</v>
      </c>
      <c r="K44" s="107" t="str">
        <f>'Income Statement'!J4</f>
        <v>2028E</v>
      </c>
      <c r="L44" s="107" t="str">
        <f>'Income Statement'!K4</f>
        <v>2029E</v>
      </c>
      <c r="M44" s="107" t="str">
        <f>'Income Statement'!L4</f>
        <v>2030E</v>
      </c>
      <c r="N44" s="107" t="str">
        <f>'Income Statement'!M4</f>
        <v>2031E</v>
      </c>
      <c r="O44" s="107" t="str">
        <f>'Income Statement'!N4</f>
        <v>2032E</v>
      </c>
      <c r="P44" s="107" t="str">
        <f>'Income Statement'!O4</f>
        <v>2033E</v>
      </c>
      <c r="Q44" s="108" t="str">
        <f>'Income Statement'!P4</f>
        <v>2034E</v>
      </c>
      <c r="R44" s="107" t="str">
        <f>'Income Statement'!Q4</f>
        <v>2035E</v>
      </c>
    </row>
    <row r="45" spans="2:18" x14ac:dyDescent="0.2">
      <c r="B45" s="109"/>
      <c r="F45" s="117"/>
      <c r="R45" s="110"/>
    </row>
    <row r="46" spans="2:18" x14ac:dyDescent="0.2">
      <c r="B46" s="100" t="s">
        <v>157</v>
      </c>
      <c r="C46" s="111">
        <f>C15/'Income Statement'!C10*360</f>
        <v>163.65538327238249</v>
      </c>
      <c r="D46" s="111">
        <f>D15/'Income Statement'!D10*360</f>
        <v>159.1372893168963</v>
      </c>
      <c r="E46" s="111">
        <f>E15/'Income Statement'!E10*360</f>
        <v>176.53241507021377</v>
      </c>
      <c r="F46" s="111">
        <f>F15/'Income Statement'!F10*360</f>
        <v>107.83653504521099</v>
      </c>
      <c r="G46" s="111"/>
      <c r="H46" s="112">
        <v>100</v>
      </c>
      <c r="I46" s="111">
        <f t="shared" ref="I46:R46" si="10">H46</f>
        <v>100</v>
      </c>
      <c r="J46" s="111">
        <f t="shared" si="10"/>
        <v>100</v>
      </c>
      <c r="K46" s="111">
        <f t="shared" si="10"/>
        <v>100</v>
      </c>
      <c r="L46" s="111">
        <f t="shared" si="10"/>
        <v>100</v>
      </c>
      <c r="M46" s="111">
        <f t="shared" si="10"/>
        <v>100</v>
      </c>
      <c r="N46" s="111">
        <f t="shared" si="10"/>
        <v>100</v>
      </c>
      <c r="O46" s="111">
        <f t="shared" si="10"/>
        <v>100</v>
      </c>
      <c r="P46" s="111">
        <f t="shared" si="10"/>
        <v>100</v>
      </c>
      <c r="Q46" s="111">
        <f t="shared" si="10"/>
        <v>100</v>
      </c>
      <c r="R46" s="113">
        <f t="shared" si="10"/>
        <v>100</v>
      </c>
    </row>
    <row r="47" spans="2:18" x14ac:dyDescent="0.2">
      <c r="B47" s="100" t="s">
        <v>156</v>
      </c>
      <c r="C47" s="111">
        <f>-C17/-'Income Statement'!C16*365</f>
        <v>213.84457276565038</v>
      </c>
      <c r="D47" s="111">
        <f>-D17/-'Income Statement'!D16*365</f>
        <v>609.61757532978072</v>
      </c>
      <c r="E47" s="111">
        <f>-E17/-'Income Statement'!E16*365</f>
        <v>227.00951581703225</v>
      </c>
      <c r="F47" s="111">
        <f>-F17/-'Income Statement'!F16*365</f>
        <v>161.81889420775869</v>
      </c>
      <c r="G47" s="111"/>
      <c r="H47" s="112">
        <v>150</v>
      </c>
      <c r="I47" s="111">
        <f t="shared" ref="I47:R47" si="11">H47</f>
        <v>150</v>
      </c>
      <c r="J47" s="111">
        <f t="shared" si="11"/>
        <v>150</v>
      </c>
      <c r="K47" s="111">
        <f t="shared" si="11"/>
        <v>150</v>
      </c>
      <c r="L47" s="111">
        <f t="shared" si="11"/>
        <v>150</v>
      </c>
      <c r="M47" s="111">
        <f t="shared" si="11"/>
        <v>150</v>
      </c>
      <c r="N47" s="111">
        <f t="shared" si="11"/>
        <v>150</v>
      </c>
      <c r="O47" s="111">
        <f t="shared" si="11"/>
        <v>150</v>
      </c>
      <c r="P47" s="111">
        <f t="shared" si="11"/>
        <v>150</v>
      </c>
      <c r="Q47" s="111">
        <f t="shared" si="11"/>
        <v>150</v>
      </c>
      <c r="R47" s="113">
        <f t="shared" si="11"/>
        <v>150</v>
      </c>
    </row>
    <row r="48" spans="2:18" x14ac:dyDescent="0.2">
      <c r="B48" s="100" t="s">
        <v>155</v>
      </c>
      <c r="C48" s="111">
        <f>C16/'Income Statement'!C10*360</f>
        <v>79.094090851294311</v>
      </c>
      <c r="D48" s="111">
        <f>D16/'Income Statement'!D10*360</f>
        <v>238.43976014795709</v>
      </c>
      <c r="E48" s="111">
        <f>E16/'Income Statement'!E10*360</f>
        <v>188.26342718344338</v>
      </c>
      <c r="F48" s="111">
        <f>F16/'Income Statement'!F10*360</f>
        <v>125.77088612037804</v>
      </c>
      <c r="G48" s="111"/>
      <c r="H48" s="112">
        <v>110</v>
      </c>
      <c r="I48" s="111">
        <f t="shared" ref="I48:R49" si="12">H48</f>
        <v>110</v>
      </c>
      <c r="J48" s="111">
        <f t="shared" si="12"/>
        <v>110</v>
      </c>
      <c r="K48" s="111">
        <f t="shared" si="12"/>
        <v>110</v>
      </c>
      <c r="L48" s="111">
        <f t="shared" si="12"/>
        <v>110</v>
      </c>
      <c r="M48" s="111">
        <f t="shared" si="12"/>
        <v>110</v>
      </c>
      <c r="N48" s="111">
        <f t="shared" si="12"/>
        <v>110</v>
      </c>
      <c r="O48" s="111">
        <f t="shared" si="12"/>
        <v>110</v>
      </c>
      <c r="P48" s="111">
        <f t="shared" si="12"/>
        <v>110</v>
      </c>
      <c r="Q48" s="111">
        <f t="shared" si="12"/>
        <v>110</v>
      </c>
      <c r="R48" s="113">
        <f t="shared" si="12"/>
        <v>110</v>
      </c>
    </row>
    <row r="49" spans="2:18" x14ac:dyDescent="0.2">
      <c r="B49" s="101" t="s">
        <v>214</v>
      </c>
      <c r="C49" s="114">
        <f>-C18/'Income Statement'!C10*360</f>
        <v>36.527889692254583</v>
      </c>
      <c r="D49" s="114">
        <f>-D18/'Income Statement'!D10*360</f>
        <v>158.22576919247425</v>
      </c>
      <c r="E49" s="114">
        <f>-E18/'Income Statement'!E10*360</f>
        <v>94.020654952876953</v>
      </c>
      <c r="F49" s="114">
        <f>-F18/'Income Statement'!F10*360</f>
        <v>37.168194331205939</v>
      </c>
      <c r="G49" s="114"/>
      <c r="H49" s="115">
        <v>37</v>
      </c>
      <c r="I49" s="114">
        <f>H49</f>
        <v>37</v>
      </c>
      <c r="J49" s="114">
        <f t="shared" si="12"/>
        <v>37</v>
      </c>
      <c r="K49" s="114">
        <f t="shared" si="12"/>
        <v>37</v>
      </c>
      <c r="L49" s="114">
        <f t="shared" si="12"/>
        <v>37</v>
      </c>
      <c r="M49" s="114">
        <f t="shared" si="12"/>
        <v>37</v>
      </c>
      <c r="N49" s="114">
        <f t="shared" si="12"/>
        <v>37</v>
      </c>
      <c r="O49" s="114">
        <f t="shared" si="12"/>
        <v>37</v>
      </c>
      <c r="P49" s="114">
        <f t="shared" si="12"/>
        <v>37</v>
      </c>
      <c r="Q49" s="114">
        <f t="shared" si="12"/>
        <v>37</v>
      </c>
      <c r="R49" s="116">
        <f t="shared" si="12"/>
        <v>37</v>
      </c>
    </row>
    <row r="52" spans="2:18" x14ac:dyDescent="0.2">
      <c r="B52" s="68" t="s">
        <v>153</v>
      </c>
    </row>
    <row r="54" spans="2:18" x14ac:dyDescent="0.2">
      <c r="B54" t="s">
        <v>73</v>
      </c>
      <c r="C54" s="183">
        <f>('Balance Sheet'!C15+'Balance Sheet'!C20+'Balance Sheet'!C34)-(-'Balance Sheet'!C17-'Balance Sheet'!C18+'Debt Schedule'!C8)</f>
        <v>30.329450000000001</v>
      </c>
      <c r="D54" s="183">
        <f>('Balance Sheet'!D15+'Balance Sheet'!D20+'Balance Sheet'!D34)-(-'Balance Sheet'!D17-'Balance Sheet'!D18+'Debt Schedule'!D8)</f>
        <v>23.256547999999995</v>
      </c>
      <c r="E54" s="183">
        <f>('Balance Sheet'!E15+'Balance Sheet'!E20+'Balance Sheet'!E34)-(-'Balance Sheet'!E17-'Balance Sheet'!E18+'Debt Schedule'!E8)</f>
        <v>23.005611999999999</v>
      </c>
      <c r="F54" s="183">
        <f>('Balance Sheet'!F15+'Balance Sheet'!F20+'Balance Sheet'!F34)-(-'Balance Sheet'!F17-'Balance Sheet'!F18+'Debt Schedule'!F8)</f>
        <v>22.010221999999992</v>
      </c>
    </row>
    <row r="55" spans="2:18" x14ac:dyDescent="0.2">
      <c r="B55" t="s">
        <v>74</v>
      </c>
      <c r="C55" s="183">
        <f>C28-C8</f>
        <v>38.209598</v>
      </c>
      <c r="D55" s="183">
        <f t="shared" ref="D55:F55" si="13">D28-D8</f>
        <v>38.553761999999999</v>
      </c>
      <c r="E55" s="183">
        <f t="shared" si="13"/>
        <v>37.086759000000008</v>
      </c>
      <c r="F55" s="183">
        <f t="shared" si="13"/>
        <v>32.129790999999997</v>
      </c>
    </row>
    <row r="56" spans="2:18" x14ac:dyDescent="0.2">
      <c r="B56" t="s">
        <v>75</v>
      </c>
      <c r="C56" s="183">
        <f>('Balance Sheet'!C15+'Balance Sheet'!C16+'Balance Sheet'!C20+'Balance Sheet'!C34)-(-'Balance Sheet'!C17-'Balance Sheet'!C18+'Debt Schedule'!C8)</f>
        <v>37.273848999999998</v>
      </c>
      <c r="D56" s="183">
        <f>('Balance Sheet'!D15+'Balance Sheet'!D16+'Balance Sheet'!D20+'Balance Sheet'!D34)-(-'Balance Sheet'!D17-'Balance Sheet'!D18+'Debt Schedule'!D8)</f>
        <v>37.345763999999988</v>
      </c>
      <c r="E56" s="183">
        <f>('Balance Sheet'!E15+'Balance Sheet'!E16+'Balance Sheet'!E20+'Balance Sheet'!E34)-(-'Balance Sheet'!E17-'Balance Sheet'!E18+'Debt Schedule'!E8)</f>
        <v>38.079076000000001</v>
      </c>
      <c r="F56" s="183">
        <f>('Balance Sheet'!F15+'Balance Sheet'!F16+'Balance Sheet'!F20+'Balance Sheet'!F34)-(-'Balance Sheet'!F17-'Balance Sheet'!F18+'Debt Schedule'!F8)</f>
        <v>32.94940299999999</v>
      </c>
    </row>
    <row r="57" spans="2:18" x14ac:dyDescent="0.2">
      <c r="C57" s="11"/>
      <c r="D57" s="11"/>
      <c r="E57" s="11"/>
      <c r="F57" s="11"/>
    </row>
  </sheetData>
  <pageMargins left="0.7" right="0.7" top="0.75" bottom="0.75" header="0.3" footer="0.3"/>
  <pageSetup paperSize="9" orientation="portrait" r:id="rId1"/>
  <ignoredErrors>
    <ignoredError sqref="G14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R40"/>
  <sheetViews>
    <sheetView showGridLines="0" zoomScaleNormal="100" workbookViewId="0">
      <selection activeCell="G34" sqref="G34"/>
    </sheetView>
  </sheetViews>
  <sheetFormatPr defaultRowHeight="12.75" x14ac:dyDescent="0.2"/>
  <cols>
    <col min="2" max="2" width="39.5703125" customWidth="1"/>
    <col min="3" max="3" width="9.42578125" customWidth="1"/>
    <col min="4" max="4" width="10.5703125" bestFit="1" customWidth="1"/>
    <col min="5" max="5" width="8.42578125" customWidth="1"/>
    <col min="13" max="13" width="9.85546875" customWidth="1"/>
    <col min="14" max="14" width="10.140625" customWidth="1"/>
  </cols>
  <sheetData>
    <row r="2" spans="2:18" x14ac:dyDescent="0.2">
      <c r="B2" s="39" t="s">
        <v>76</v>
      </c>
    </row>
    <row r="4" spans="2:18" x14ac:dyDescent="0.2">
      <c r="B4" s="84" t="s">
        <v>10</v>
      </c>
      <c r="C4" s="83" t="str">
        <f>'Income Statement'!C4</f>
        <v>2021A</v>
      </c>
      <c r="D4" s="83" t="str">
        <f>'Income Statement'!D4</f>
        <v>2022A</v>
      </c>
      <c r="E4" s="83" t="str">
        <f>'Income Statement'!E4</f>
        <v>2023A</v>
      </c>
      <c r="F4" s="99" t="str">
        <f>'Income Statement'!F4</f>
        <v>2024A</v>
      </c>
      <c r="G4" s="83" t="str">
        <f>'Income Statement'!G4</f>
        <v>2025E</v>
      </c>
      <c r="H4" s="83" t="str">
        <f>'Income Statement'!H4</f>
        <v>2026E</v>
      </c>
      <c r="I4" s="83" t="str">
        <f>'Income Statement'!I4</f>
        <v>2027E</v>
      </c>
      <c r="J4" s="83" t="str">
        <f>'Income Statement'!J4</f>
        <v>2028E</v>
      </c>
      <c r="K4" s="83" t="str">
        <f>'Income Statement'!K4</f>
        <v>2029E</v>
      </c>
      <c r="L4" s="83" t="str">
        <f>'Income Statement'!L4</f>
        <v>2030E</v>
      </c>
      <c r="M4" s="83" t="str">
        <f>'Income Statement'!M4</f>
        <v>2031E</v>
      </c>
      <c r="N4" s="83" t="str">
        <f>'Income Statement'!N4</f>
        <v>2032E</v>
      </c>
      <c r="O4" s="83" t="str">
        <f>'Income Statement'!O4</f>
        <v>2033E</v>
      </c>
      <c r="P4" s="99" t="str">
        <f>'Income Statement'!P4</f>
        <v>2034E</v>
      </c>
      <c r="Q4" s="98" t="str">
        <f>'Income Statement'!Q4</f>
        <v>2035E</v>
      </c>
    </row>
    <row r="5" spans="2:18" x14ac:dyDescent="0.2">
      <c r="F5" s="126"/>
      <c r="G5" s="33"/>
    </row>
    <row r="6" spans="2:18" x14ac:dyDescent="0.2">
      <c r="B6" s="96" t="s">
        <v>77</v>
      </c>
      <c r="C6" s="27"/>
      <c r="D6" s="27">
        <f>'Income Statement'!D57</f>
        <v>1.2932409999999961</v>
      </c>
      <c r="E6" s="27">
        <f>'Income Statement'!E57</f>
        <v>1.5936600000000061</v>
      </c>
      <c r="F6" s="27">
        <f>'Income Statement'!F57</f>
        <v>2.0332199999999978</v>
      </c>
      <c r="G6" s="33">
        <f>'Income Statement'!G57</f>
        <v>2.1111106072911086</v>
      </c>
      <c r="H6" s="33">
        <f>'Income Statement'!H57</f>
        <v>2.4439883576108024</v>
      </c>
      <c r="I6" s="33">
        <f>'Income Statement'!I57</f>
        <v>2.8121621092172564</v>
      </c>
      <c r="J6" s="33">
        <f>'Income Statement'!J57</f>
        <v>3.1951626593853031</v>
      </c>
      <c r="K6" s="33">
        <f>'Income Statement'!K57</f>
        <v>3.6363744273210026</v>
      </c>
      <c r="L6" s="33">
        <f>'Income Statement'!L57</f>
        <v>4.1064034878628473</v>
      </c>
      <c r="M6" s="33">
        <f>'Income Statement'!M57</f>
        <v>4.6876541025188843</v>
      </c>
      <c r="N6" s="33">
        <f>'Income Statement'!N57</f>
        <v>5.3678899826492454</v>
      </c>
      <c r="O6" s="33">
        <f>'Income Statement'!O57</f>
        <v>5.8778395310009248</v>
      </c>
      <c r="P6" s="33">
        <f>'Income Statement'!P57</f>
        <v>6.4068450887910098</v>
      </c>
      <c r="Q6" s="33">
        <f>'Income Statement'!Q57</f>
        <v>6.9834611467821937</v>
      </c>
    </row>
    <row r="7" spans="2:18" x14ac:dyDescent="0.2">
      <c r="B7" s="96" t="s">
        <v>205</v>
      </c>
      <c r="C7" s="27"/>
      <c r="D7" s="27">
        <f>-'Income Statement'!D48</f>
        <v>0.24460100000000001</v>
      </c>
      <c r="E7" s="27">
        <f>-'Income Statement'!E48</f>
        <v>0.116456</v>
      </c>
      <c r="F7" s="27">
        <f>-'Income Statement'!F48</f>
        <v>0.20474800000000001</v>
      </c>
      <c r="G7" s="17">
        <f>-'Income Statement'!G48</f>
        <v>0.77361189749999926</v>
      </c>
      <c r="H7" s="17">
        <f>-'Income Statement'!H48</f>
        <v>0.73761189749999923</v>
      </c>
      <c r="I7" s="17">
        <f>-'Income Statement'!I48</f>
        <v>0.7016118974999993</v>
      </c>
      <c r="J7" s="17">
        <f>-'Income Statement'!J48</f>
        <v>0.65361189749999937</v>
      </c>
      <c r="K7" s="17">
        <f>-'Income Statement'!K48</f>
        <v>0.5756118974999993</v>
      </c>
      <c r="L7" s="17">
        <f>-'Income Statement'!L48</f>
        <v>0.48561189749999933</v>
      </c>
      <c r="M7" s="17">
        <f>-'Income Statement'!M48</f>
        <v>0.29754303749999972</v>
      </c>
      <c r="N7" s="126">
        <f>-'Income Statement'!N48</f>
        <v>0</v>
      </c>
      <c r="O7" s="126">
        <f>-'Income Statement'!O48</f>
        <v>0</v>
      </c>
      <c r="P7" s="126">
        <f>-'Income Statement'!P48</f>
        <v>0</v>
      </c>
      <c r="Q7" s="126">
        <f>-'Income Statement'!Q48</f>
        <v>0</v>
      </c>
      <c r="R7" s="126"/>
    </row>
    <row r="8" spans="2:18" x14ac:dyDescent="0.2">
      <c r="B8" s="96" t="s">
        <v>208</v>
      </c>
      <c r="C8" s="27"/>
      <c r="D8" s="27">
        <f>'Balance Sheet'!D36-'Balance Sheet'!C36</f>
        <v>1.7074000000000034E-2</v>
      </c>
      <c r="E8" s="27">
        <f>'Balance Sheet'!E36-'Balance Sheet'!D36</f>
        <v>-6.7960000000000242E-3</v>
      </c>
      <c r="F8" s="27">
        <f>'Balance Sheet'!F36-'Balance Sheet'!E36</f>
        <v>-5.4443000000000019E-2</v>
      </c>
      <c r="G8" s="27">
        <f>'Balance Sheet'!H36-'Balance Sheet'!F36</f>
        <v>3.340700347750003E-2</v>
      </c>
      <c r="H8" s="27">
        <f>'Balance Sheet'!I36-'Balance Sheet'!H36</f>
        <v>3.8093144938312506E-2</v>
      </c>
      <c r="I8" s="27">
        <f>'Balance Sheet'!J36-'Balance Sheet'!I36</f>
        <v>4.3284419224682513E-2</v>
      </c>
      <c r="J8" s="27">
        <f>'Balance Sheet'!K36-'Balance Sheet'!J36</f>
        <v>4.8389204497633176E-2</v>
      </c>
      <c r="K8" s="27">
        <f>'Balance Sheet'!L36-'Balance Sheet'!K36</f>
        <v>5.4007595374069406E-2</v>
      </c>
      <c r="L8" s="27">
        <f>'Balance Sheet'!M36-'Balance Sheet'!L36</f>
        <v>5.9796934185066153E-2</v>
      </c>
      <c r="M8" s="27">
        <f>'Balance Sheet'!N36-'Balance Sheet'!M36</f>
        <v>6.6149663706218886E-2</v>
      </c>
      <c r="N8" s="27">
        <f>'Balance Sheet'!O36-'Balance Sheet'!N36</f>
        <v>7.2641791356510499E-2</v>
      </c>
      <c r="O8" s="27">
        <f>'Balance Sheet'!P36-'Balance Sheet'!O36</f>
        <v>7.9742354749651967E-2</v>
      </c>
      <c r="P8" s="27">
        <f>'Balance Sheet'!Q36-'Balance Sheet'!P36</f>
        <v>8.6932812811470361E-2</v>
      </c>
      <c r="Q8" s="27">
        <f>'Balance Sheet'!R36-'Balance Sheet'!Q36</f>
        <v>9.4769866253478607E-2</v>
      </c>
    </row>
    <row r="9" spans="2:18" x14ac:dyDescent="0.2">
      <c r="B9" s="96" t="s">
        <v>162</v>
      </c>
      <c r="C9" s="27"/>
      <c r="D9" s="27">
        <f>-('Income Statement'!D37)</f>
        <v>0.57561499999999999</v>
      </c>
      <c r="E9" s="27">
        <f>-('Income Statement'!E37)</f>
        <v>0.49957000000000001</v>
      </c>
      <c r="F9" s="27">
        <f>-('Income Statement'!F37)</f>
        <v>0.48489300000000002</v>
      </c>
      <c r="G9" s="17">
        <f>-'Income Statement'!G37</f>
        <v>0.49265128800000002</v>
      </c>
      <c r="H9" s="17">
        <f>-'Income Statement'!H37</f>
        <v>0.50102635989599997</v>
      </c>
      <c r="I9" s="17">
        <f>-'Income Statement'!I37</f>
        <v>0.51004483437412795</v>
      </c>
      <c r="J9" s="17">
        <f>-'Income Statement'!J37</f>
        <v>0.51973568622723632</v>
      </c>
      <c r="K9" s="17">
        <f>-'Income Statement'!K37</f>
        <v>0.53013039995178102</v>
      </c>
      <c r="L9" s="17">
        <f>-'Income Statement'!L37</f>
        <v>0.54073300795081669</v>
      </c>
      <c r="M9" s="17">
        <f>-'Income Statement'!M37</f>
        <v>0.55154766810983302</v>
      </c>
      <c r="N9" s="17">
        <f>-'Income Statement'!N37</f>
        <v>0.56257862147202964</v>
      </c>
      <c r="O9" s="17">
        <f>-'Income Statement'!O37</f>
        <v>0.57383019390147028</v>
      </c>
      <c r="P9" s="17">
        <f>-'Income Statement'!P37</f>
        <v>0.58530679777949968</v>
      </c>
      <c r="Q9" s="17">
        <f>-'Income Statement'!Q37</f>
        <v>0.59701293373508968</v>
      </c>
    </row>
    <row r="10" spans="2:18" x14ac:dyDescent="0.2">
      <c r="B10" s="96" t="s">
        <v>206</v>
      </c>
      <c r="C10" s="27"/>
      <c r="D10" s="27">
        <f>-'Income Statement'!D50</f>
        <v>-0.341918</v>
      </c>
      <c r="E10" s="27">
        <f>-'Income Statement'!E50</f>
        <v>-0.48680899999999999</v>
      </c>
      <c r="F10" s="27">
        <f>-'Income Statement'!F50</f>
        <v>-0.96345999999999998</v>
      </c>
      <c r="G10" s="27">
        <f>-'Income Statement'!G50</f>
        <v>0</v>
      </c>
      <c r="H10" s="27">
        <f>-'Income Statement'!H50</f>
        <v>0</v>
      </c>
      <c r="I10" s="27">
        <f>-'Income Statement'!I50</f>
        <v>0</v>
      </c>
      <c r="J10" s="27">
        <f>-'Income Statement'!J50</f>
        <v>0</v>
      </c>
      <c r="K10" s="27">
        <f>-'Income Statement'!K50</f>
        <v>0</v>
      </c>
      <c r="L10" s="27">
        <f>-'Income Statement'!L50</f>
        <v>0</v>
      </c>
      <c r="M10" s="27">
        <f>-'Income Statement'!M50</f>
        <v>0</v>
      </c>
      <c r="N10" s="27">
        <f>-'Income Statement'!N50</f>
        <v>0</v>
      </c>
      <c r="O10" s="27">
        <f>-'Income Statement'!O50</f>
        <v>0</v>
      </c>
      <c r="P10" s="27">
        <f>-'Income Statement'!P50</f>
        <v>0</v>
      </c>
      <c r="Q10" s="27">
        <f>-'Income Statement'!Q50</f>
        <v>0</v>
      </c>
    </row>
    <row r="11" spans="2:18" x14ac:dyDescent="0.2">
      <c r="B11" s="96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</row>
    <row r="12" spans="2:18" x14ac:dyDescent="0.2">
      <c r="B12" s="230" t="s">
        <v>78</v>
      </c>
      <c r="D12" s="93">
        <f>SUM(D13:D17)</f>
        <v>3.8742560000000013</v>
      </c>
      <c r="E12" s="93">
        <f t="shared" ref="E12:F12" si="0">SUM(E13:E17)</f>
        <v>-5.6671019999999999</v>
      </c>
      <c r="F12" s="93">
        <f t="shared" si="0"/>
        <v>3.8896940000000009</v>
      </c>
      <c r="G12" s="93">
        <f t="shared" ref="G12" si="1">SUM(G13:G17)</f>
        <v>1.6651441847020556</v>
      </c>
      <c r="H12" s="93">
        <f t="shared" ref="H12" si="2">SUM(H13:H17)</f>
        <v>-1.3797557345092657</v>
      </c>
      <c r="I12" s="93">
        <f t="shared" ref="I12" si="3">SUM(I13:I17)</f>
        <v>-1.5393352704503283</v>
      </c>
      <c r="J12" s="93">
        <f t="shared" ref="J12" si="4">SUM(J13:J17)</f>
        <v>-1.6842945956411395</v>
      </c>
      <c r="K12" s="93">
        <f t="shared" ref="K12" si="5">SUM(K13:K17)</f>
        <v>-1.7446792825639352</v>
      </c>
      <c r="L12" s="93">
        <f t="shared" ref="L12" si="6">SUM(L13:L17)</f>
        <v>-1.9085993596499504</v>
      </c>
      <c r="M12" s="93">
        <f t="shared" ref="M12" si="7">SUM(M13:M17)</f>
        <v>-2.0280295935407575</v>
      </c>
      <c r="N12" s="93">
        <f t="shared" ref="N12" si="8">SUM(N13:N17)</f>
        <v>-2.2073219714606802</v>
      </c>
      <c r="O12" s="93">
        <f t="shared" ref="O12" si="9">SUM(O13:O17)</f>
        <v>-2.3300009454021851</v>
      </c>
      <c r="P12" s="93">
        <f t="shared" ref="P12" si="10">SUM(P13:P17)</f>
        <v>-2.5229759112341785</v>
      </c>
      <c r="Q12" s="93">
        <f t="shared" ref="Q12" si="11">SUM(Q13:Q17)</f>
        <v>-2.6450455909952177</v>
      </c>
    </row>
    <row r="13" spans="2:18" x14ac:dyDescent="0.2">
      <c r="B13" s="122" t="s">
        <v>79</v>
      </c>
      <c r="D13" s="27">
        <f>-'Balance Sheet'!D15+'Balance Sheet'!C15</f>
        <v>4.9655180000000012</v>
      </c>
      <c r="E13" s="27">
        <f>-'Balance Sheet'!E15+'Balance Sheet'!D15</f>
        <v>-4.7309150000000013</v>
      </c>
      <c r="F13" s="27">
        <f>-'Balance Sheet'!F15+'Balance Sheet'!E15</f>
        <v>4.7549070000000011</v>
      </c>
      <c r="G13" s="27">
        <f>-'Balance Sheet'!H15+'Balance Sheet'!F15</f>
        <v>-0.18578887260273902</v>
      </c>
      <c r="H13" s="27">
        <f>-'Balance Sheet'!I15+'Balance Sheet'!H15</f>
        <v>-1.0999856803493167</v>
      </c>
      <c r="I13" s="27">
        <f>-'Balance Sheet'!J15+'Balance Sheet'!I15</f>
        <v>-1.226484033589486</v>
      </c>
      <c r="J13" s="27">
        <f>-'Balance Sheet'!K15+'Balance Sheet'!J15</f>
        <v>-1.2486140715868608</v>
      </c>
      <c r="K13" s="27">
        <f>-'Balance Sheet'!L15+'Balance Sheet'!K15</f>
        <v>-1.3797185491034831</v>
      </c>
      <c r="L13" s="27">
        <f>-'Balance Sheet'!M15+'Balance Sheet'!L15</f>
        <v>-1.4519895207231883</v>
      </c>
      <c r="M13" s="27">
        <f>-'Balance Sheet'!N15+'Balance Sheet'!M15</f>
        <v>-1.5971884727955068</v>
      </c>
      <c r="N13" s="27">
        <f>-'Balance Sheet'!O15+'Balance Sheet'!N15</f>
        <v>-1.6690619540713065</v>
      </c>
      <c r="O13" s="27">
        <f>-'Balance Sheet'!P15+'Balance Sheet'!O15</f>
        <v>-1.8276228397080772</v>
      </c>
      <c r="P13" s="27">
        <f>-'Balance Sheet'!Q15+'Balance Sheet'!P15</f>
        <v>-1.8959182195077027</v>
      </c>
      <c r="Q13" s="27">
        <f>-'Balance Sheet'!R15+'Balance Sheet'!Q15</f>
        <v>-2.0665508592633905</v>
      </c>
    </row>
    <row r="14" spans="2:18" x14ac:dyDescent="0.2">
      <c r="B14" s="122" t="s">
        <v>80</v>
      </c>
      <c r="D14" s="27">
        <f>-(+'Balance Sheet'!D17-'Balance Sheet'!C17)</f>
        <v>0.20056300000000071</v>
      </c>
      <c r="E14" s="27">
        <f>-(+'Balance Sheet'!E17-'Balance Sheet'!D17)</f>
        <v>-0.33745500000000028</v>
      </c>
      <c r="F14" s="27">
        <f>-(+'Balance Sheet'!F17-'Balance Sheet'!E17)</f>
        <v>-0.58617400000000019</v>
      </c>
      <c r="G14" s="27">
        <f>-(+'Balance Sheet'!H17-'Balance Sheet'!F17)</f>
        <v>3.1495237592465308E-2</v>
      </c>
      <c r="H14" s="27">
        <f>-(+'Balance Sheet'!I17-'Balance Sheet'!H17)</f>
        <v>0.38774495232313377</v>
      </c>
      <c r="I14" s="27">
        <f>-(+'Balance Sheet'!J17-'Balance Sheet'!I17)</f>
        <v>0.4323356218402945</v>
      </c>
      <c r="J14" s="27">
        <f>-(+'Balance Sheet'!K17-'Balance Sheet'!J17)</f>
        <v>0.44013646023436781</v>
      </c>
      <c r="K14" s="27">
        <f>-(+'Balance Sheet'!L17-'Balance Sheet'!K17)</f>
        <v>0.48635078855897707</v>
      </c>
      <c r="L14" s="27">
        <f>-(+'Balance Sheet'!M17-'Balance Sheet'!L17)</f>
        <v>0.51182630605492463</v>
      </c>
      <c r="M14" s="27">
        <f>-(+'Balance Sheet'!N17-'Balance Sheet'!M17)</f>
        <v>0.56300893666041674</v>
      </c>
      <c r="N14" s="27">
        <f>-(+'Balance Sheet'!O17-'Balance Sheet'!N17)</f>
        <v>0.58834433881013481</v>
      </c>
      <c r="O14" s="27">
        <f>-(+'Balance Sheet'!P17-'Balance Sheet'!O17)</f>
        <v>0.6442370509970976</v>
      </c>
      <c r="P14" s="27">
        <f>-(+'Balance Sheet'!Q17-'Balance Sheet'!P17)</f>
        <v>0.66831117237646431</v>
      </c>
      <c r="Q14" s="27">
        <f>-(+'Balance Sheet'!R17-'Balance Sheet'!Q17)</f>
        <v>0.72845917789034509</v>
      </c>
    </row>
    <row r="15" spans="2:18" x14ac:dyDescent="0.2">
      <c r="B15" s="122" t="s">
        <v>81</v>
      </c>
      <c r="D15" s="27">
        <f>+'Balance Sheet'!C16-'Balance Sheet'!D16</f>
        <v>-7.1448170000000006</v>
      </c>
      <c r="E15" s="27">
        <f>+'Balance Sheet'!D16-'Balance Sheet'!E16</f>
        <v>-0.98424799999999912</v>
      </c>
      <c r="F15" s="27">
        <f>+'Balance Sheet'!E16-'Balance Sheet'!F16</f>
        <v>4.1342829999999999</v>
      </c>
      <c r="G15" s="27">
        <f>-'Balance Sheet'!H16+'Balance Sheet'!F16</f>
        <v>1.5027665068493157</v>
      </c>
      <c r="H15" s="27">
        <f>-'Balance Sheet'!I16+'Balance Sheet'!H16</f>
        <v>-1.0851876667123292</v>
      </c>
      <c r="I15" s="27">
        <f>-'Balance Sheet'!J16+'Balance Sheet'!I16</f>
        <v>-1.2099842483842469</v>
      </c>
      <c r="J15" s="27">
        <f>-'Balance Sheet'!K16+'Balance Sheet'!J16</f>
        <v>-1.3491324369484357</v>
      </c>
      <c r="K15" s="27">
        <f>-'Balance Sheet'!L16+'Balance Sheet'!K16</f>
        <v>-1.3734754787455472</v>
      </c>
      <c r="L15" s="27">
        <f>-'Balance Sheet'!M16+'Balance Sheet'!L16</f>
        <v>-1.5176904040138304</v>
      </c>
      <c r="M15" s="27">
        <f>-'Balance Sheet'!N16+'Balance Sheet'!M16</f>
        <v>-1.5971884727955068</v>
      </c>
      <c r="N15" s="27">
        <f>-'Balance Sheet'!O16+'Balance Sheet'!N16</f>
        <v>-1.756907320075058</v>
      </c>
      <c r="O15" s="27">
        <f>-'Balance Sheet'!P16+'Balance Sheet'!O16</f>
        <v>-1.8359681494784361</v>
      </c>
      <c r="P15" s="27">
        <f>-'Balance Sheet'!Q16+'Balance Sheet'!P16</f>
        <v>-2.010385123678887</v>
      </c>
      <c r="Q15" s="27">
        <f>-'Balance Sheet'!R16+'Balance Sheet'!Q16</f>
        <v>-2.0855100414584697</v>
      </c>
    </row>
    <row r="16" spans="2:18" x14ac:dyDescent="0.2">
      <c r="B16" s="122" t="s">
        <v>207</v>
      </c>
      <c r="D16" s="27">
        <f>-('Balance Sheet'!D18-'Balance Sheet'!C18)</f>
        <v>6.142315</v>
      </c>
      <c r="E16" s="27">
        <f>-('Balance Sheet'!E18-'Balance Sheet'!D18)</f>
        <v>-1.8215949999999994</v>
      </c>
      <c r="F16" s="27">
        <f>-('Balance Sheet'!F18-'Balance Sheet'!E18)</f>
        <v>-4.2950600000000003</v>
      </c>
      <c r="G16" s="27">
        <f>-'Balance Sheet'!H18+'Balance Sheet'!F18</f>
        <v>0.30630436286301377</v>
      </c>
      <c r="H16" s="27">
        <f>-'Balance Sheet'!I18+'Balance Sheet'!H18</f>
        <v>0.40699470172924634</v>
      </c>
      <c r="I16" s="27">
        <f>-'Balance Sheet'!J18+'Balance Sheet'!I18</f>
        <v>0.45379909242811012</v>
      </c>
      <c r="J16" s="27">
        <f>-'Balance Sheet'!K18+'Balance Sheet'!J18</f>
        <v>0.46198720648713909</v>
      </c>
      <c r="K16" s="27">
        <f>-'Balance Sheet'!L18+'Balance Sheet'!K18</f>
        <v>0.51049586316828854</v>
      </c>
      <c r="L16" s="27">
        <f>-'Balance Sheet'!M18+'Balance Sheet'!L18</f>
        <v>0.53723612266757925</v>
      </c>
      <c r="M16" s="27">
        <f>-'Balance Sheet'!N18+'Balance Sheet'!M18</f>
        <v>0.59095973493433807</v>
      </c>
      <c r="N16" s="27">
        <f>-'Balance Sheet'!O18+'Balance Sheet'!N18</f>
        <v>0.6175529230063832</v>
      </c>
      <c r="O16" s="27">
        <f>-'Balance Sheet'!P18+'Balance Sheet'!O18</f>
        <v>0.67622045069198933</v>
      </c>
      <c r="P16" s="27">
        <f>-'Balance Sheet'!Q18+'Balance Sheet'!P18</f>
        <v>0.70148974121784846</v>
      </c>
      <c r="Q16" s="27">
        <f>-'Balance Sheet'!R18+'Balance Sheet'!Q18</f>
        <v>0.76462381792745582</v>
      </c>
    </row>
    <row r="17" spans="2:17" x14ac:dyDescent="0.2">
      <c r="B17" s="122" t="s">
        <v>209</v>
      </c>
      <c r="D17" s="27">
        <f>-('Balance Sheet'!D22-'Balance Sheet'!C22)</f>
        <v>-0.289323</v>
      </c>
      <c r="E17" s="27">
        <f>-('Balance Sheet'!E22-'Balance Sheet'!D22)</f>
        <v>2.2071110000000003</v>
      </c>
      <c r="F17" s="27">
        <f>-('Balance Sheet'!F22-'Balance Sheet'!E22)</f>
        <v>-0.11826199999999998</v>
      </c>
      <c r="G17" s="27">
        <f>-('Balance Sheet'!H22-'Balance Sheet'!F22)</f>
        <v>1.0366949999999986E-2</v>
      </c>
      <c r="H17" s="27">
        <f>-('Balance Sheet'!I22-'Balance Sheet'!H22)</f>
        <v>1.0677958500000029E-2</v>
      </c>
      <c r="I17" s="27">
        <f>-('Balance Sheet'!J22-'Balance Sheet'!I22)</f>
        <v>1.0998297255000011E-2</v>
      </c>
      <c r="J17" s="27">
        <f>-('Balance Sheet'!K22-'Balance Sheet'!J22)</f>
        <v>1.1328246172649992E-2</v>
      </c>
      <c r="K17" s="27">
        <f>-('Balance Sheet'!L22-'Balance Sheet'!K22)</f>
        <v>1.1668093557829495E-2</v>
      </c>
      <c r="L17" s="27">
        <f>-('Balance Sheet'!M22-'Balance Sheet'!L22)</f>
        <v>1.2018136364564391E-2</v>
      </c>
      <c r="M17" s="27">
        <f>-('Balance Sheet'!N22-'Balance Sheet'!M22)</f>
        <v>1.2378680455501334E-2</v>
      </c>
      <c r="N17" s="27">
        <f>-('Balance Sheet'!O22-'Balance Sheet'!N22)</f>
        <v>1.2750040869166368E-2</v>
      </c>
      <c r="O17" s="27">
        <f>-('Balance Sheet'!P22-'Balance Sheet'!O22)</f>
        <v>1.313254209524134E-2</v>
      </c>
      <c r="P17" s="27">
        <f>-('Balance Sheet'!Q22-'Balance Sheet'!P22)</f>
        <v>1.3526518358098594E-2</v>
      </c>
      <c r="Q17" s="27">
        <f>-('Balance Sheet'!R22-'Balance Sheet'!Q22)</f>
        <v>1.3932313908841532E-2</v>
      </c>
    </row>
    <row r="18" spans="2:17" x14ac:dyDescent="0.2">
      <c r="B18" s="122"/>
      <c r="F18" s="134"/>
      <c r="G18" s="93"/>
    </row>
    <row r="19" spans="2:17" x14ac:dyDescent="0.2">
      <c r="B19" s="96" t="s">
        <v>82</v>
      </c>
      <c r="D19" s="27">
        <f t="shared" ref="D19:Q19" si="12">-D7</f>
        <v>-0.24460100000000001</v>
      </c>
      <c r="E19" s="27">
        <f t="shared" si="12"/>
        <v>-0.116456</v>
      </c>
      <c r="F19" s="126">
        <f t="shared" si="12"/>
        <v>-0.20474800000000001</v>
      </c>
      <c r="G19" s="33">
        <f t="shared" si="12"/>
        <v>-0.77361189749999926</v>
      </c>
      <c r="H19" s="27">
        <f t="shared" si="12"/>
        <v>-0.73761189749999923</v>
      </c>
      <c r="I19" s="27">
        <f t="shared" si="12"/>
        <v>-0.7016118974999993</v>
      </c>
      <c r="J19" s="27">
        <f t="shared" si="12"/>
        <v>-0.65361189749999937</v>
      </c>
      <c r="K19" s="27">
        <f t="shared" si="12"/>
        <v>-0.5756118974999993</v>
      </c>
      <c r="L19" s="27">
        <f t="shared" si="12"/>
        <v>-0.48561189749999933</v>
      </c>
      <c r="M19" s="27">
        <f t="shared" si="12"/>
        <v>-0.29754303749999972</v>
      </c>
      <c r="N19" s="27">
        <f t="shared" si="12"/>
        <v>0</v>
      </c>
      <c r="O19" s="27">
        <f t="shared" si="12"/>
        <v>0</v>
      </c>
      <c r="P19" s="27">
        <f t="shared" si="12"/>
        <v>0</v>
      </c>
      <c r="Q19" s="27">
        <f t="shared" si="12"/>
        <v>0</v>
      </c>
    </row>
    <row r="20" spans="2:17" x14ac:dyDescent="0.2">
      <c r="B20" s="123" t="s">
        <v>165</v>
      </c>
      <c r="C20" s="124"/>
      <c r="D20" s="125">
        <f>+D6+D7+D8+D10+D9+D12+D19</f>
        <v>5.4182679999999968</v>
      </c>
      <c r="E20" s="125">
        <f t="shared" ref="E20:F20" si="13">+E6+E7+E8+E10+E9+E12+E19</f>
        <v>-4.067476999999994</v>
      </c>
      <c r="F20" s="125">
        <f t="shared" si="13"/>
        <v>5.3899039999999978</v>
      </c>
      <c r="G20" s="125">
        <f t="shared" ref="G20" si="14">+G6+G7+G8+G10+G9+G12+G19</f>
        <v>4.302313083470664</v>
      </c>
      <c r="H20" s="125">
        <f t="shared" ref="H20" si="15">+H6+H7+H8+H10+H9+H12+H19</f>
        <v>1.6033521279358489</v>
      </c>
      <c r="I20" s="125">
        <f t="shared" ref="I20" si="16">+I6+I7+I8+I10+I9+I12+I19</f>
        <v>1.8261560923657383</v>
      </c>
      <c r="J20" s="125">
        <f t="shared" ref="J20" si="17">+J6+J7+J8+J10+J9+J12+J19</f>
        <v>2.0789929544690331</v>
      </c>
      <c r="K20" s="125">
        <f t="shared" ref="K20" si="18">+K6+K7+K8+K10+K9+K12+K19</f>
        <v>2.4758331400829174</v>
      </c>
      <c r="L20" s="125">
        <f t="shared" ref="L20" si="19">+L6+L7+L8+L10+L9+L12+L19</f>
        <v>2.7983340703487798</v>
      </c>
      <c r="M20" s="125">
        <f t="shared" ref="M20" si="20">+M6+M7+M8+M10+M9+M12+M19</f>
        <v>3.2773218407941793</v>
      </c>
      <c r="N20" s="125">
        <f t="shared" ref="N20" si="21">+N6+N7+N8+N10+N9+N12+N19</f>
        <v>3.7957884240171049</v>
      </c>
      <c r="O20" s="125">
        <f t="shared" ref="O20" si="22">+O6+O7+O8+O10+O9+O12+O19</f>
        <v>4.2014111342498621</v>
      </c>
      <c r="P20" s="125">
        <f t="shared" ref="P20" si="23">+P6+P7+P8+P10+P9+P12+P19</f>
        <v>4.5561087881478013</v>
      </c>
      <c r="Q20" s="125">
        <f t="shared" ref="Q20" si="24">+Q6+Q7+Q8+Q10+Q9+Q12+Q19</f>
        <v>5.0301983557755445</v>
      </c>
    </row>
    <row r="21" spans="2:17" x14ac:dyDescent="0.2">
      <c r="F21" s="126"/>
      <c r="G21" s="33"/>
    </row>
    <row r="22" spans="2:17" x14ac:dyDescent="0.2">
      <c r="B22" s="96" t="s">
        <v>31</v>
      </c>
      <c r="C22" s="30"/>
      <c r="D22" s="33">
        <f>-'PP&amp;E Schedule'!D6</f>
        <v>-0.63059299999999996</v>
      </c>
      <c r="E22" s="33">
        <f>-'PP&amp;E Schedule'!E6</f>
        <v>-0.15523200000000004</v>
      </c>
      <c r="F22" s="126">
        <f>-'PP&amp;E Schedule'!F6</f>
        <v>-0.27883799999999992</v>
      </c>
      <c r="G22" s="33">
        <f>-'PP&amp;E Schedule'!G6</f>
        <v>-0.52368883477499995</v>
      </c>
      <c r="H22" s="33">
        <f>-'PP&amp;E Schedule'!H6</f>
        <v>-0.97318841795687505</v>
      </c>
      <c r="I22" s="33">
        <f>-'PP&amp;E Schedule'!I6</f>
        <v>-1.0851050860219158</v>
      </c>
      <c r="J22" s="33">
        <f>-'PP&amp;E Schedule'!J6</f>
        <v>-0.71942467203253002</v>
      </c>
      <c r="K22" s="33">
        <f>-'PP&amp;E Schedule'!K6</f>
        <v>-1.0599523501279275</v>
      </c>
      <c r="L22" s="33">
        <f>-'PP&amp;E Schedule'!L6</f>
        <v>-0.99105544736961237</v>
      </c>
      <c r="M22" s="33">
        <f>-'PP&amp;E Schedule'!M6</f>
        <v>-1.0901609921065738</v>
      </c>
      <c r="N22" s="33">
        <f>-'PP&amp;E Schedule'!N6</f>
        <v>-1.0532878997264983</v>
      </c>
      <c r="O22" s="33">
        <f>-'PP&amp;E Schedule'!O6</f>
        <v>-1.1533502502005157</v>
      </c>
      <c r="P22" s="33">
        <f>-'PP&amp;E Schedule'!P6</f>
        <v>-1.2571517727185622</v>
      </c>
      <c r="Q22" s="33">
        <f>-'PP&amp;E Schedule'!Q6</f>
        <v>-1.3702954322632328</v>
      </c>
    </row>
    <row r="23" spans="2:17" x14ac:dyDescent="0.2">
      <c r="B23" s="96" t="s">
        <v>210</v>
      </c>
      <c r="C23" s="30"/>
      <c r="D23" s="33">
        <f>-('Balance Sheet'!D10-'Balance Sheet'!C10)</f>
        <v>-0.15410099999999893</v>
      </c>
      <c r="E23" s="33">
        <f>-('Balance Sheet'!E10-'Balance Sheet'!D10)</f>
        <v>-3.4050000000000011</v>
      </c>
      <c r="F23" s="33">
        <f>-('Balance Sheet'!F10-'Balance Sheet'!E10)</f>
        <v>-6.5962419999999984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</row>
    <row r="24" spans="2:17" x14ac:dyDescent="0.2">
      <c r="B24" s="96" t="s">
        <v>203</v>
      </c>
      <c r="C24" s="30"/>
      <c r="D24" s="33">
        <f>-('Balance Sheet'!D20-'Balance Sheet'!C20)</f>
        <v>-2.2756620000000005</v>
      </c>
      <c r="E24" s="33">
        <f>-('Balance Sheet'!E20-'Balance Sheet'!D20)</f>
        <v>-0.25667400000000029</v>
      </c>
      <c r="F24" s="33">
        <f>-('Balance Sheet'!F20-'Balance Sheet'!E20)</f>
        <v>0.44385100000000222</v>
      </c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</row>
    <row r="25" spans="2:17" x14ac:dyDescent="0.2">
      <c r="B25" s="96" t="s">
        <v>211</v>
      </c>
      <c r="C25" s="27"/>
      <c r="D25" s="27">
        <f>'Income Statement'!D50</f>
        <v>0.341918</v>
      </c>
      <c r="E25" s="27">
        <f>'Income Statement'!E50</f>
        <v>0.48680899999999999</v>
      </c>
      <c r="F25" s="27">
        <f>'Income Statement'!F50</f>
        <v>0.96345999999999998</v>
      </c>
      <c r="G25" s="27">
        <f>'Income Statement'!G50</f>
        <v>0</v>
      </c>
      <c r="H25" s="27">
        <f>'Income Statement'!H50</f>
        <v>0</v>
      </c>
      <c r="I25" s="27">
        <f>'Income Statement'!I50</f>
        <v>0</v>
      </c>
      <c r="J25" s="27">
        <f>'Income Statement'!J50</f>
        <v>0</v>
      </c>
      <c r="K25" s="27">
        <f>'Income Statement'!K50</f>
        <v>0</v>
      </c>
      <c r="L25" s="27">
        <f>'Income Statement'!L50</f>
        <v>0</v>
      </c>
      <c r="M25" s="27">
        <f>'Income Statement'!M50</f>
        <v>0</v>
      </c>
      <c r="N25" s="27">
        <f>'Income Statement'!N50</f>
        <v>0</v>
      </c>
      <c r="O25" s="27">
        <f>'Income Statement'!O50</f>
        <v>0</v>
      </c>
      <c r="P25" s="27">
        <f>'Income Statement'!P50</f>
        <v>0</v>
      </c>
      <c r="Q25" s="27">
        <f>'Income Statement'!Q50</f>
        <v>0</v>
      </c>
    </row>
    <row r="26" spans="2:17" x14ac:dyDescent="0.2">
      <c r="B26" s="123" t="s">
        <v>83</v>
      </c>
      <c r="C26" s="127"/>
      <c r="D26" s="125">
        <f>D22+D23+D24+D25</f>
        <v>-2.7184379999999995</v>
      </c>
      <c r="E26" s="125">
        <f t="shared" ref="E26:F26" si="25">E22+E23+E24+E25</f>
        <v>-3.3300970000000012</v>
      </c>
      <c r="F26" s="125">
        <f t="shared" si="25"/>
        <v>-5.467768999999997</v>
      </c>
      <c r="G26" s="125">
        <f t="shared" ref="G26:Q26" si="26">+G22</f>
        <v>-0.52368883477499995</v>
      </c>
      <c r="H26" s="125">
        <f t="shared" si="26"/>
        <v>-0.97318841795687505</v>
      </c>
      <c r="I26" s="125">
        <f t="shared" si="26"/>
        <v>-1.0851050860219158</v>
      </c>
      <c r="J26" s="125">
        <f t="shared" si="26"/>
        <v>-0.71942467203253002</v>
      </c>
      <c r="K26" s="125">
        <f t="shared" si="26"/>
        <v>-1.0599523501279275</v>
      </c>
      <c r="L26" s="125">
        <f t="shared" si="26"/>
        <v>-0.99105544736961237</v>
      </c>
      <c r="M26" s="125">
        <f t="shared" si="26"/>
        <v>-1.0901609921065738</v>
      </c>
      <c r="N26" s="125">
        <f t="shared" si="26"/>
        <v>-1.0532878997264983</v>
      </c>
      <c r="O26" s="125">
        <f t="shared" si="26"/>
        <v>-1.1533502502005157</v>
      </c>
      <c r="P26" s="125">
        <f t="shared" si="26"/>
        <v>-1.2571517727185622</v>
      </c>
      <c r="Q26" s="125">
        <f t="shared" si="26"/>
        <v>-1.3702954322632328</v>
      </c>
    </row>
    <row r="27" spans="2:17" x14ac:dyDescent="0.2">
      <c r="B27" s="179"/>
      <c r="C27" s="33"/>
      <c r="D27" s="93"/>
      <c r="E27" s="93"/>
      <c r="F27" s="134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</row>
    <row r="28" spans="2:17" x14ac:dyDescent="0.2">
      <c r="B28" s="96" t="s">
        <v>213</v>
      </c>
      <c r="C28" s="33"/>
      <c r="D28" s="33">
        <f>'Debt Schedule'!D7+'Debt Schedule'!D6</f>
        <v>-0.51927900000000005</v>
      </c>
      <c r="E28" s="33">
        <f>'Debt Schedule'!E7+'Debt Schedule'!E6</f>
        <v>2.7810419999999998</v>
      </c>
      <c r="F28" s="33">
        <f>'Debt Schedule'!F7+'Debt Schedule'!F6</f>
        <v>1.4514830000000001</v>
      </c>
      <c r="G28" s="33">
        <f>'LBO Model'!C55</f>
        <v>-0.6</v>
      </c>
      <c r="H28" s="33">
        <f>'LBO Model'!D55</f>
        <v>-0.6</v>
      </c>
      <c r="I28" s="33">
        <f>'LBO Model'!E55</f>
        <v>-0.8</v>
      </c>
      <c r="J28" s="33">
        <f>'LBO Model'!F55</f>
        <v>-1.3</v>
      </c>
      <c r="K28" s="33">
        <f>'LBO Model'!G55</f>
        <v>-1.5</v>
      </c>
      <c r="L28" s="33">
        <f>'LBO Model'!H55</f>
        <v>-3.1344809999999939</v>
      </c>
      <c r="M28" s="33">
        <f>'LBO Model'!I55</f>
        <v>-3.9672404999999964</v>
      </c>
      <c r="N28" s="33">
        <f>'LBO Model'!J55</f>
        <v>0</v>
      </c>
      <c r="O28" s="33">
        <f>'LBO Model'!K55</f>
        <v>0</v>
      </c>
      <c r="P28" s="33">
        <f>'LBO Model'!L55</f>
        <v>0</v>
      </c>
      <c r="Q28" s="33">
        <f>'LBO Model'!M55</f>
        <v>0</v>
      </c>
    </row>
    <row r="29" spans="2:17" x14ac:dyDescent="0.2">
      <c r="B29" s="96" t="s">
        <v>212</v>
      </c>
      <c r="C29" s="33"/>
      <c r="D29" s="33">
        <f>-(('Balance Sheet'!C28+'Balance Sheet'!D30)-'Balance Sheet'!D28)</f>
        <v>-0.73999799999999993</v>
      </c>
      <c r="E29" s="33">
        <f>-(('Balance Sheet'!D28+'Balance Sheet'!E30)-'Balance Sheet'!E28)</f>
        <v>-9.9999999747524271E-7</v>
      </c>
      <c r="F29" s="33">
        <f>-(('Balance Sheet'!E28+'Balance Sheet'!F30)-'Balance Sheet'!F28)</f>
        <v>-0.60000100000001311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0" spans="2:17" x14ac:dyDescent="0.2">
      <c r="B30" s="123" t="s">
        <v>84</v>
      </c>
      <c r="C30" s="127"/>
      <c r="D30" s="125">
        <f>SUM(D28:D29)</f>
        <v>-1.259277</v>
      </c>
      <c r="E30" s="125">
        <f t="shared" ref="E30:F30" si="27">SUM(E28:E29)</f>
        <v>2.7810410000000023</v>
      </c>
      <c r="F30" s="125">
        <f t="shared" si="27"/>
        <v>0.85148199999998697</v>
      </c>
      <c r="G30" s="125">
        <f t="shared" ref="G30:Q30" si="28">SUM(G28:G29)</f>
        <v>-0.6</v>
      </c>
      <c r="H30" s="125">
        <f t="shared" si="28"/>
        <v>-0.6</v>
      </c>
      <c r="I30" s="125">
        <f t="shared" si="28"/>
        <v>-0.8</v>
      </c>
      <c r="J30" s="125">
        <f t="shared" si="28"/>
        <v>-1.3</v>
      </c>
      <c r="K30" s="125">
        <f t="shared" si="28"/>
        <v>-1.5</v>
      </c>
      <c r="L30" s="125">
        <f t="shared" si="28"/>
        <v>-3.1344809999999939</v>
      </c>
      <c r="M30" s="125">
        <f t="shared" si="28"/>
        <v>-3.9672404999999964</v>
      </c>
      <c r="N30" s="125">
        <f t="shared" si="28"/>
        <v>0</v>
      </c>
      <c r="O30" s="125">
        <f t="shared" si="28"/>
        <v>0</v>
      </c>
      <c r="P30" s="125">
        <f t="shared" si="28"/>
        <v>0</v>
      </c>
      <c r="Q30" s="125">
        <f t="shared" si="28"/>
        <v>0</v>
      </c>
    </row>
    <row r="31" spans="2:17" x14ac:dyDescent="0.2">
      <c r="B31" s="92"/>
      <c r="C31" s="33"/>
      <c r="D31" s="33"/>
      <c r="E31" s="33"/>
      <c r="F31" s="126"/>
      <c r="G31" s="33"/>
      <c r="H31" s="33"/>
      <c r="I31" s="33"/>
      <c r="J31" s="33"/>
      <c r="K31" s="33"/>
      <c r="L31" s="33"/>
      <c r="N31" s="33"/>
      <c r="O31" s="33"/>
      <c r="P31" s="33"/>
      <c r="Q31" s="33"/>
    </row>
    <row r="32" spans="2:17" x14ac:dyDescent="0.2">
      <c r="B32" s="128" t="s">
        <v>166</v>
      </c>
      <c r="C32" s="129"/>
      <c r="D32" s="130">
        <f t="shared" ref="D32:Q32" si="29">D20+D26+D30</f>
        <v>1.4405529999999973</v>
      </c>
      <c r="E32" s="130">
        <f t="shared" si="29"/>
        <v>-4.6165329999999933</v>
      </c>
      <c r="F32" s="130">
        <f t="shared" si="29"/>
        <v>0.77361699999998779</v>
      </c>
      <c r="G32" s="130">
        <f t="shared" si="29"/>
        <v>3.1786242486956637</v>
      </c>
      <c r="H32" s="130">
        <f t="shared" si="29"/>
        <v>3.0163709978973885E-2</v>
      </c>
      <c r="I32" s="130">
        <f t="shared" si="29"/>
        <v>-5.8948993656177562E-2</v>
      </c>
      <c r="J32" s="130">
        <f t="shared" si="29"/>
        <v>5.9568282436502917E-2</v>
      </c>
      <c r="K32" s="130">
        <f t="shared" si="29"/>
        <v>-8.4119210045010107E-2</v>
      </c>
      <c r="L32" s="130">
        <f t="shared" si="29"/>
        <v>-1.3272023770208263</v>
      </c>
      <c r="M32" s="130">
        <f t="shared" si="29"/>
        <v>-1.7800796513123909</v>
      </c>
      <c r="N32" s="130">
        <f t="shared" si="29"/>
        <v>2.7425005242906066</v>
      </c>
      <c r="O32" s="130">
        <f t="shared" si="29"/>
        <v>3.0480608840493462</v>
      </c>
      <c r="P32" s="130">
        <f t="shared" si="29"/>
        <v>3.2989570154292389</v>
      </c>
      <c r="Q32" s="130">
        <f t="shared" si="29"/>
        <v>3.6599029235123117</v>
      </c>
    </row>
    <row r="33" spans="2:17" x14ac:dyDescent="0.2">
      <c r="B33" s="32" t="s">
        <v>161</v>
      </c>
      <c r="C33" s="30"/>
      <c r="D33" s="33">
        <f>'Balance Sheet'!C34</f>
        <v>5.6323429999999997</v>
      </c>
      <c r="E33" s="33">
        <f>+D34</f>
        <v>7.0728959999999965</v>
      </c>
      <c r="F33" s="33">
        <f>+E34</f>
        <v>2.4563630000000032</v>
      </c>
      <c r="G33" s="33">
        <v>0</v>
      </c>
      <c r="H33" s="33">
        <f t="shared" ref="H33:Q33" si="30">+G34</f>
        <v>3.1786242486956637</v>
      </c>
      <c r="I33" s="33">
        <f t="shared" si="30"/>
        <v>3.2087879586746375</v>
      </c>
      <c r="J33" s="33">
        <f t="shared" si="30"/>
        <v>3.1498389650184597</v>
      </c>
      <c r="K33" s="33">
        <f t="shared" si="30"/>
        <v>3.2094072474549629</v>
      </c>
      <c r="L33" s="33">
        <f t="shared" si="30"/>
        <v>3.1252880374099528</v>
      </c>
      <c r="M33" s="33">
        <f t="shared" si="30"/>
        <v>1.7980856603891264</v>
      </c>
      <c r="N33" s="33">
        <f t="shared" si="30"/>
        <v>1.8006009076735552E-2</v>
      </c>
      <c r="O33" s="33">
        <f t="shared" si="30"/>
        <v>2.7605065333673422</v>
      </c>
      <c r="P33" s="33">
        <f t="shared" si="30"/>
        <v>5.8085674174166879</v>
      </c>
      <c r="Q33" s="33">
        <f t="shared" si="30"/>
        <v>9.1075244328459277</v>
      </c>
    </row>
    <row r="34" spans="2:17" ht="13.5" customHeight="1" thickBot="1" x14ac:dyDescent="0.25">
      <c r="B34" s="131" t="s">
        <v>85</v>
      </c>
      <c r="C34" s="132"/>
      <c r="D34" s="133">
        <f>D32+D33</f>
        <v>7.0728959999999965</v>
      </c>
      <c r="E34" s="133">
        <f t="shared" ref="E34:Q34" si="31">E32+E33</f>
        <v>2.4563630000000032</v>
      </c>
      <c r="F34" s="133">
        <f t="shared" si="31"/>
        <v>3.229979999999991</v>
      </c>
      <c r="G34" s="133">
        <f>G32+G33-I37</f>
        <v>3.1786242486956637</v>
      </c>
      <c r="H34" s="133">
        <f t="shared" si="31"/>
        <v>3.2087879586746375</v>
      </c>
      <c r="I34" s="133">
        <f t="shared" si="31"/>
        <v>3.1498389650184597</v>
      </c>
      <c r="J34" s="133">
        <f t="shared" si="31"/>
        <v>3.2094072474549629</v>
      </c>
      <c r="K34" s="133">
        <f t="shared" si="31"/>
        <v>3.1252880374099528</v>
      </c>
      <c r="L34" s="133">
        <f t="shared" si="31"/>
        <v>1.7980856603891264</v>
      </c>
      <c r="M34" s="133">
        <f t="shared" si="31"/>
        <v>1.8006009076735552E-2</v>
      </c>
      <c r="N34" s="133">
        <f t="shared" si="31"/>
        <v>2.7605065333673422</v>
      </c>
      <c r="O34" s="133">
        <f t="shared" si="31"/>
        <v>5.8085674174166879</v>
      </c>
      <c r="P34" s="133">
        <f t="shared" si="31"/>
        <v>9.1075244328459277</v>
      </c>
      <c r="Q34" s="133">
        <f t="shared" si="31"/>
        <v>12.76742735635824</v>
      </c>
    </row>
    <row r="35" spans="2:17" ht="13.5" customHeight="1" thickTop="1" x14ac:dyDescent="0.2"/>
    <row r="39" spans="2:17" x14ac:dyDescent="0.2">
      <c r="M39" s="183"/>
    </row>
    <row r="40" spans="2:17" x14ac:dyDescent="0.2">
      <c r="M40" s="183"/>
    </row>
  </sheetData>
  <pageMargins left="0.7" right="0.7" top="0.75" bottom="0.75" header="0.3" footer="0.3"/>
  <ignoredErrors>
    <ignoredError sqref="G3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Q10"/>
  <sheetViews>
    <sheetView showGridLines="0" zoomScale="115" zoomScaleNormal="115" workbookViewId="0">
      <selection activeCell="G23" sqref="G23"/>
    </sheetView>
  </sheetViews>
  <sheetFormatPr defaultRowHeight="12.75" x14ac:dyDescent="0.2"/>
  <cols>
    <col min="1" max="1" width="4.140625" customWidth="1"/>
    <col min="2" max="2" width="35.7109375" customWidth="1"/>
    <col min="3" max="3" width="8.42578125" customWidth="1"/>
    <col min="7" max="7" width="9.5703125" customWidth="1"/>
    <col min="8" max="8" width="10.42578125" customWidth="1"/>
    <col min="9" max="17" width="10.5703125" customWidth="1"/>
  </cols>
  <sheetData>
    <row r="2" spans="2:17" ht="13.5" customHeight="1" x14ac:dyDescent="0.25">
      <c r="B2" s="241" t="s">
        <v>185</v>
      </c>
      <c r="C2" s="241"/>
    </row>
    <row r="4" spans="2:17" x14ac:dyDescent="0.2">
      <c r="B4" s="21" t="s">
        <v>10</v>
      </c>
      <c r="C4" s="19" t="s">
        <v>175</v>
      </c>
      <c r="D4" s="19" t="s">
        <v>11</v>
      </c>
      <c r="E4" s="19" t="s">
        <v>12</v>
      </c>
      <c r="F4" s="19" t="s">
        <v>13</v>
      </c>
      <c r="G4" s="19" t="s">
        <v>176</v>
      </c>
      <c r="H4" s="19" t="s">
        <v>14</v>
      </c>
      <c r="I4" s="19" t="s">
        <v>15</v>
      </c>
      <c r="J4" s="19" t="s">
        <v>16</v>
      </c>
      <c r="K4" s="19" t="s">
        <v>17</v>
      </c>
      <c r="L4" s="19" t="s">
        <v>18</v>
      </c>
      <c r="M4" s="19" t="s">
        <v>19</v>
      </c>
      <c r="N4" s="19" t="s">
        <v>20</v>
      </c>
      <c r="O4" s="19" t="s">
        <v>21</v>
      </c>
      <c r="P4" s="19" t="s">
        <v>22</v>
      </c>
      <c r="Q4" s="16" t="s">
        <v>23</v>
      </c>
    </row>
    <row r="5" spans="2:17" x14ac:dyDescent="0.2">
      <c r="B5" t="s">
        <v>86</v>
      </c>
      <c r="C5" s="45">
        <v>2.065842</v>
      </c>
      <c r="D5" s="17">
        <f t="shared" ref="D5:Q5" si="0">+C9</f>
        <v>1.7690140000000001</v>
      </c>
      <c r="E5" s="17">
        <f t="shared" si="0"/>
        <v>1.8239920000000001</v>
      </c>
      <c r="F5" s="17">
        <f>+E9</f>
        <v>1.479654</v>
      </c>
      <c r="G5" s="17">
        <f t="shared" si="0"/>
        <v>1.2735989999999999</v>
      </c>
      <c r="H5" s="17">
        <f t="shared" si="0"/>
        <v>1.3046365467749999</v>
      </c>
      <c r="I5" s="17">
        <f t="shared" si="0"/>
        <v>1.7767986048358746</v>
      </c>
      <c r="J5" s="17">
        <f t="shared" si="0"/>
        <v>2.3518588564836627</v>
      </c>
      <c r="K5" s="17">
        <f t="shared" si="0"/>
        <v>2.5515478422889566</v>
      </c>
      <c r="L5" s="17">
        <f t="shared" si="0"/>
        <v>3.0813697924651029</v>
      </c>
      <c r="M5" s="17">
        <f t="shared" si="0"/>
        <v>3.5316922318838988</v>
      </c>
      <c r="N5" s="17">
        <f t="shared" si="0"/>
        <v>4.0703055558806387</v>
      </c>
      <c r="O5" s="17">
        <f t="shared" si="0"/>
        <v>4.5610148341351078</v>
      </c>
      <c r="P5" s="17">
        <f t="shared" si="0"/>
        <v>5.1405348904341537</v>
      </c>
      <c r="Q5" s="17">
        <f t="shared" si="0"/>
        <v>5.8123798653732166</v>
      </c>
    </row>
    <row r="6" spans="2:17" x14ac:dyDescent="0.2">
      <c r="B6" s="14" t="s">
        <v>174</v>
      </c>
      <c r="C6" s="17">
        <f>-((C5+C8)-C9)</f>
        <v>0.31746700000000017</v>
      </c>
      <c r="D6" s="17">
        <f t="shared" ref="D6:F6" si="1">-((D5+D8)-D9)</f>
        <v>0.63059299999999996</v>
      </c>
      <c r="E6" s="17">
        <f t="shared" si="1"/>
        <v>0.15523200000000004</v>
      </c>
      <c r="F6" s="17">
        <f t="shared" si="1"/>
        <v>0.27883799999999992</v>
      </c>
      <c r="G6" s="17">
        <f>-'Income Statement'!G42</f>
        <v>0.52368883477499995</v>
      </c>
      <c r="H6" s="17">
        <f>-'Income Statement'!H42</f>
        <v>0.97318841795687505</v>
      </c>
      <c r="I6" s="17">
        <f>-'Income Statement'!I42</f>
        <v>1.0851050860219158</v>
      </c>
      <c r="J6" s="17">
        <f>-'Income Statement'!J42</f>
        <v>0.71942467203253002</v>
      </c>
      <c r="K6" s="17">
        <f>-'Income Statement'!K42</f>
        <v>1.0599523501279275</v>
      </c>
      <c r="L6" s="17">
        <f>-'Income Statement'!L42</f>
        <v>0.99105544736961237</v>
      </c>
      <c r="M6" s="17">
        <f>-'Income Statement'!M42</f>
        <v>1.0901609921065738</v>
      </c>
      <c r="N6" s="17">
        <f>-'Income Statement'!N42</f>
        <v>1.0532878997264983</v>
      </c>
      <c r="O6" s="17">
        <f>-'Income Statement'!O42</f>
        <v>1.1533502502005157</v>
      </c>
      <c r="P6" s="17">
        <f>-'Income Statement'!P42</f>
        <v>1.2571517727185622</v>
      </c>
      <c r="Q6" s="17">
        <f>-'Income Statement'!Q42</f>
        <v>1.3702954322632328</v>
      </c>
    </row>
    <row r="7" spans="2:17" x14ac:dyDescent="0.2">
      <c r="B7" s="14" t="s">
        <v>88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</row>
    <row r="8" spans="2:17" ht="13.5" customHeight="1" x14ac:dyDescent="0.2">
      <c r="B8" s="14" t="s">
        <v>89</v>
      </c>
      <c r="C8" s="13">
        <v>-0.61429500000000004</v>
      </c>
      <c r="D8" s="229">
        <f>-0.575615</f>
        <v>-0.57561499999999999</v>
      </c>
      <c r="E8" s="229">
        <f>-0.49957</f>
        <v>-0.49957000000000001</v>
      </c>
      <c r="F8" s="229">
        <f>-0.484893</f>
        <v>-0.48489300000000002</v>
      </c>
      <c r="G8" s="11">
        <f>'Income Statement'!G37</f>
        <v>-0.49265128800000002</v>
      </c>
      <c r="H8" s="11">
        <f>'Income Statement'!H37</f>
        <v>-0.50102635989599997</v>
      </c>
      <c r="I8" s="11">
        <f>'Income Statement'!I37</f>
        <v>-0.51004483437412795</v>
      </c>
      <c r="J8" s="11">
        <f>'Income Statement'!J37</f>
        <v>-0.51973568622723632</v>
      </c>
      <c r="K8" s="11">
        <f>'Income Statement'!K37</f>
        <v>-0.53013039995178102</v>
      </c>
      <c r="L8" s="11">
        <f>'Income Statement'!L37</f>
        <v>-0.54073300795081669</v>
      </c>
      <c r="M8" s="11">
        <f>'Income Statement'!M37</f>
        <v>-0.55154766810983302</v>
      </c>
      <c r="N8" s="11">
        <f>'Income Statement'!N37</f>
        <v>-0.56257862147202964</v>
      </c>
      <c r="O8" s="11">
        <f>'Income Statement'!O37</f>
        <v>-0.57383019390147028</v>
      </c>
      <c r="P8" s="11">
        <f>'Income Statement'!P37</f>
        <v>-0.58530679777949968</v>
      </c>
      <c r="Q8" s="11">
        <f>'Income Statement'!Q37</f>
        <v>-0.59701293373508968</v>
      </c>
    </row>
    <row r="9" spans="2:17" ht="14.25" customHeight="1" thickBot="1" x14ac:dyDescent="0.3">
      <c r="B9" s="18" t="s">
        <v>90</v>
      </c>
      <c r="C9" s="220">
        <v>1.7690140000000001</v>
      </c>
      <c r="D9" s="220">
        <v>1.8239920000000001</v>
      </c>
      <c r="E9" s="220">
        <v>1.479654</v>
      </c>
      <c r="F9" s="220">
        <v>1.2735989999999999</v>
      </c>
      <c r="G9" s="135">
        <f t="shared" ref="G9:Q9" si="2">G5+G6+G8</f>
        <v>1.3046365467749999</v>
      </c>
      <c r="H9" s="135">
        <f t="shared" si="2"/>
        <v>1.7767986048358746</v>
      </c>
      <c r="I9" s="135">
        <f t="shared" si="2"/>
        <v>2.3518588564836627</v>
      </c>
      <c r="J9" s="135">
        <f t="shared" si="2"/>
        <v>2.5515478422889566</v>
      </c>
      <c r="K9" s="135">
        <f t="shared" si="2"/>
        <v>3.0813697924651029</v>
      </c>
      <c r="L9" s="135">
        <f t="shared" si="2"/>
        <v>3.5316922318838988</v>
      </c>
      <c r="M9" s="135">
        <f t="shared" si="2"/>
        <v>4.0703055558806387</v>
      </c>
      <c r="N9" s="135">
        <f t="shared" si="2"/>
        <v>4.5610148341351078</v>
      </c>
      <c r="O9" s="135">
        <f t="shared" si="2"/>
        <v>5.1405348904341537</v>
      </c>
      <c r="P9" s="135">
        <f t="shared" si="2"/>
        <v>5.8123798653732166</v>
      </c>
      <c r="Q9" s="135">
        <f t="shared" si="2"/>
        <v>6.5856623639013598</v>
      </c>
    </row>
    <row r="10" spans="2:17" ht="13.5" customHeight="1" thickTop="1" x14ac:dyDescent="0.2"/>
  </sheetData>
  <mergeCells count="1">
    <mergeCell ref="B2:C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Q23"/>
  <sheetViews>
    <sheetView showGridLines="0" workbookViewId="0">
      <selection activeCell="D8" sqref="D8"/>
    </sheetView>
  </sheetViews>
  <sheetFormatPr defaultRowHeight="12.75" x14ac:dyDescent="0.2"/>
  <cols>
    <col min="1" max="1" width="5.140625" customWidth="1"/>
    <col min="2" max="2" width="38.5703125" customWidth="1"/>
    <col min="3" max="17" width="9.140625" customWidth="1"/>
  </cols>
  <sheetData>
    <row r="2" spans="2:17" ht="13.5" customHeight="1" x14ac:dyDescent="0.25">
      <c r="B2" s="15" t="s">
        <v>91</v>
      </c>
    </row>
    <row r="4" spans="2:17" x14ac:dyDescent="0.2">
      <c r="B4" s="21" t="s">
        <v>10</v>
      </c>
      <c r="C4" s="19" t="s">
        <v>175</v>
      </c>
      <c r="D4" s="19" t="s">
        <v>11</v>
      </c>
      <c r="E4" s="19" t="s">
        <v>12</v>
      </c>
      <c r="F4" s="19" t="s">
        <v>13</v>
      </c>
      <c r="G4" s="19" t="s">
        <v>176</v>
      </c>
      <c r="H4" s="19" t="s">
        <v>14</v>
      </c>
      <c r="I4" s="19" t="s">
        <v>15</v>
      </c>
      <c r="J4" s="19" t="s">
        <v>16</v>
      </c>
      <c r="K4" s="19" t="s">
        <v>17</v>
      </c>
      <c r="L4" s="19" t="s">
        <v>18</v>
      </c>
      <c r="M4" s="19" t="s">
        <v>19</v>
      </c>
      <c r="N4" s="19" t="s">
        <v>20</v>
      </c>
      <c r="O4" s="19" t="s">
        <v>21</v>
      </c>
      <c r="P4" s="19" t="s">
        <v>22</v>
      </c>
      <c r="Q4" s="16" t="s">
        <v>23</v>
      </c>
    </row>
    <row r="5" spans="2:17" ht="13.5" customHeight="1" x14ac:dyDescent="0.2">
      <c r="B5" t="s">
        <v>86</v>
      </c>
      <c r="C5" s="25">
        <v>1.1881969999999999</v>
      </c>
      <c r="D5" s="26">
        <f>C8</f>
        <v>0.69594299999999998</v>
      </c>
      <c r="E5" s="26">
        <f>D8</f>
        <v>0.17666399999999999</v>
      </c>
      <c r="F5" s="26">
        <f>E8</f>
        <v>2.9577059999999999</v>
      </c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17" ht="13.5" customHeight="1" x14ac:dyDescent="0.2">
      <c r="B6" s="14" t="s">
        <v>87</v>
      </c>
      <c r="C6" s="20">
        <v>0</v>
      </c>
      <c r="D6" s="25"/>
      <c r="E6" s="25">
        <v>2.7810419999999998</v>
      </c>
      <c r="F6" s="224">
        <v>1.4514830000000001</v>
      </c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</row>
    <row r="7" spans="2:17" ht="13.5" customHeight="1" x14ac:dyDescent="0.2">
      <c r="B7" s="14" t="s">
        <v>92</v>
      </c>
      <c r="C7" s="222">
        <f t="shared" ref="C7:D7" si="0">C8-C5-C6</f>
        <v>-0.49225399999999997</v>
      </c>
      <c r="D7" s="222">
        <f t="shared" si="0"/>
        <v>-0.51927900000000005</v>
      </c>
      <c r="E7" s="222">
        <f>E8-E5-E6</f>
        <v>0</v>
      </c>
      <c r="F7" s="222">
        <f>F8-F5-F6</f>
        <v>0</v>
      </c>
    </row>
    <row r="8" spans="2:17" ht="14.25" customHeight="1" thickBot="1" x14ac:dyDescent="0.3">
      <c r="B8" s="22" t="s">
        <v>90</v>
      </c>
      <c r="C8" s="223">
        <f>0.695943</f>
        <v>0.69594299999999998</v>
      </c>
      <c r="D8" s="223">
        <v>0.17666399999999999</v>
      </c>
      <c r="E8" s="223">
        <v>2.9577059999999999</v>
      </c>
      <c r="F8" s="223">
        <v>4.4091889999999996</v>
      </c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</row>
    <row r="9" spans="2:17" ht="13.5" customHeight="1" thickTop="1" x14ac:dyDescent="0.2"/>
    <row r="10" spans="2:17" x14ac:dyDescent="0.2">
      <c r="B10" s="226" t="s">
        <v>33</v>
      </c>
      <c r="C10" s="227">
        <v>0.146426</v>
      </c>
      <c r="D10" s="228">
        <v>0.24460100000000001</v>
      </c>
      <c r="E10" s="228">
        <v>0.116456</v>
      </c>
      <c r="F10" s="227">
        <v>0.20474800000000001</v>
      </c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</row>
    <row r="12" spans="2:17" x14ac:dyDescent="0.2">
      <c r="B12" s="24" t="s">
        <v>187</v>
      </c>
    </row>
    <row r="14" spans="2:17" ht="15" x14ac:dyDescent="0.25">
      <c r="B14" s="15" t="s">
        <v>217</v>
      </c>
    </row>
    <row r="16" spans="2:17" x14ac:dyDescent="0.2">
      <c r="B16" s="21" t="s">
        <v>10</v>
      </c>
      <c r="C16" s="19" t="s">
        <v>176</v>
      </c>
      <c r="D16" s="19" t="s">
        <v>14</v>
      </c>
      <c r="E16" s="19" t="s">
        <v>15</v>
      </c>
      <c r="F16" s="19" t="s">
        <v>16</v>
      </c>
      <c r="G16" s="19" t="s">
        <v>17</v>
      </c>
      <c r="H16" s="19" t="s">
        <v>18</v>
      </c>
      <c r="I16" s="19" t="s">
        <v>19</v>
      </c>
      <c r="J16" s="19" t="s">
        <v>20</v>
      </c>
      <c r="K16" s="19" t="s">
        <v>21</v>
      </c>
      <c r="L16" s="19" t="s">
        <v>22</v>
      </c>
      <c r="M16" s="16" t="s">
        <v>23</v>
      </c>
      <c r="N16" s="17"/>
      <c r="O16" s="17"/>
      <c r="P16" s="17"/>
      <c r="Q16" s="17"/>
    </row>
    <row r="17" spans="2:17" ht="14.25" x14ac:dyDescent="0.2">
      <c r="B17" t="s">
        <v>86</v>
      </c>
      <c r="C17" s="222">
        <f>'Balance Sheet'!F36</f>
        <v>0.474047</v>
      </c>
      <c r="D17" s="26">
        <f>C20</f>
        <v>0.50745400347750003</v>
      </c>
      <c r="E17" s="26">
        <f t="shared" ref="E17:M17" si="1">D20</f>
        <v>0.54554714841581253</v>
      </c>
      <c r="F17" s="26">
        <f t="shared" si="1"/>
        <v>0.58883156764049505</v>
      </c>
      <c r="G17" s="26">
        <f t="shared" si="1"/>
        <v>0.63722077213812822</v>
      </c>
      <c r="H17" s="26">
        <f t="shared" si="1"/>
        <v>0.69122836751219763</v>
      </c>
      <c r="I17" s="26">
        <f t="shared" si="1"/>
        <v>0.75102530169726378</v>
      </c>
      <c r="J17" s="26">
        <f t="shared" si="1"/>
        <v>0.81717496540348267</v>
      </c>
      <c r="K17" s="26">
        <f t="shared" si="1"/>
        <v>0.88981675675999317</v>
      </c>
      <c r="L17" s="26">
        <f t="shared" si="1"/>
        <v>0.96955911150964513</v>
      </c>
      <c r="M17" s="26">
        <f t="shared" si="1"/>
        <v>1.0564919243211155</v>
      </c>
      <c r="N17" s="17"/>
      <c r="O17" s="17"/>
      <c r="P17" s="17"/>
      <c r="Q17" s="17"/>
    </row>
    <row r="18" spans="2:17" ht="14.25" x14ac:dyDescent="0.2">
      <c r="B18" s="14" t="s">
        <v>215</v>
      </c>
      <c r="C18" s="222">
        <f>'Income Statement'!G10*'Income Statement'!G29*0.005</f>
        <v>5.2368883477500003E-2</v>
      </c>
      <c r="D18" s="222">
        <f>'Income Statement'!H10*'Income Statement'!H29*0.005</f>
        <v>5.8391305077412498E-2</v>
      </c>
      <c r="E18" s="222">
        <f>'Income Statement'!I10*'Income Statement'!I29*0.005</f>
        <v>6.5106305161314937E-2</v>
      </c>
      <c r="F18" s="222">
        <f>'Income Statement'!J10*'Income Statement'!J29*0.005</f>
        <v>7.1942467203253008E-2</v>
      </c>
      <c r="G18" s="222">
        <f>'Income Statement'!K10*'Income Statement'!K29*0.005</f>
        <v>7.9496426259594563E-2</v>
      </c>
      <c r="H18" s="222">
        <f>'Income Statement'!L10*'Income Statement'!L29*0.005</f>
        <v>8.7446068885554035E-2</v>
      </c>
      <c r="I18" s="222">
        <f>'Income Statement'!M10*'Income Statement'!M29*0.005</f>
        <v>9.6190675774109433E-2</v>
      </c>
      <c r="J18" s="222">
        <f>'Income Statement'!N10*'Income Statement'!N29*0.005</f>
        <v>0.10532878997264983</v>
      </c>
      <c r="K18" s="222">
        <f>'Income Statement'!O10*'Income Statement'!O29*0.005</f>
        <v>0.11533502502005157</v>
      </c>
      <c r="L18" s="222">
        <f>'Income Statement'!P10*'Income Statement'!P29*0.005</f>
        <v>0.12571517727185622</v>
      </c>
      <c r="M18" s="222">
        <f>'Income Statement'!Q10*'Income Statement'!Q29*0.005</f>
        <v>0.1370295432263233</v>
      </c>
      <c r="N18" s="17"/>
      <c r="O18" s="17"/>
      <c r="P18" s="17"/>
      <c r="Q18" s="17"/>
    </row>
    <row r="19" spans="2:17" ht="14.25" x14ac:dyDescent="0.2">
      <c r="B19" s="14" t="s">
        <v>216</v>
      </c>
      <c r="C19" s="222">
        <f>-C17*0.04</f>
        <v>-1.896188E-2</v>
      </c>
      <c r="D19" s="222">
        <f>-D17*0.04</f>
        <v>-2.0298160139100001E-2</v>
      </c>
      <c r="E19" s="222">
        <f t="shared" ref="E19:M19" si="2">-E17*0.04</f>
        <v>-2.1821885936632503E-2</v>
      </c>
      <c r="F19" s="222">
        <f t="shared" si="2"/>
        <v>-2.3553262705619804E-2</v>
      </c>
      <c r="G19" s="222">
        <f t="shared" si="2"/>
        <v>-2.5488830885525129E-2</v>
      </c>
      <c r="H19" s="222">
        <f t="shared" si="2"/>
        <v>-2.7649134700487906E-2</v>
      </c>
      <c r="I19" s="222">
        <f t="shared" si="2"/>
        <v>-3.0041012067890553E-2</v>
      </c>
      <c r="J19" s="222">
        <f t="shared" si="2"/>
        <v>-3.2686998616139308E-2</v>
      </c>
      <c r="K19" s="222">
        <f t="shared" si="2"/>
        <v>-3.559267027039973E-2</v>
      </c>
      <c r="L19" s="222">
        <f t="shared" si="2"/>
        <v>-3.8782364460385806E-2</v>
      </c>
      <c r="M19" s="222">
        <f t="shared" si="2"/>
        <v>-4.225967697284462E-2</v>
      </c>
    </row>
    <row r="20" spans="2:17" ht="15.75" thickBot="1" x14ac:dyDescent="0.3">
      <c r="B20" s="22" t="s">
        <v>90</v>
      </c>
      <c r="C20" s="236">
        <f>C17+C18+C19</f>
        <v>0.50745400347750003</v>
      </c>
      <c r="D20" s="236">
        <f t="shared" ref="D20:M20" si="3">D17+D18+D19</f>
        <v>0.54554714841581253</v>
      </c>
      <c r="E20" s="236">
        <f t="shared" si="3"/>
        <v>0.58883156764049505</v>
      </c>
      <c r="F20" s="236">
        <f t="shared" si="3"/>
        <v>0.63722077213812822</v>
      </c>
      <c r="G20" s="236">
        <f t="shared" si="3"/>
        <v>0.69122836751219763</v>
      </c>
      <c r="H20" s="236">
        <f t="shared" si="3"/>
        <v>0.75102530169726378</v>
      </c>
      <c r="I20" s="236">
        <f t="shared" si="3"/>
        <v>0.81717496540348267</v>
      </c>
      <c r="J20" s="236">
        <f t="shared" si="3"/>
        <v>0.88981675675999317</v>
      </c>
      <c r="K20" s="236">
        <f t="shared" si="3"/>
        <v>0.96955911150964513</v>
      </c>
      <c r="L20" s="236">
        <f t="shared" si="3"/>
        <v>1.0564919243211155</v>
      </c>
      <c r="M20" s="236">
        <f t="shared" si="3"/>
        <v>1.1512617905745941</v>
      </c>
      <c r="N20" s="17"/>
      <c r="O20" s="17"/>
      <c r="P20" s="17"/>
      <c r="Q20" s="17"/>
    </row>
    <row r="21" spans="2:17" ht="13.5" thickTop="1" x14ac:dyDescent="0.2"/>
    <row r="23" spans="2:17" x14ac:dyDescent="0.2">
      <c r="E23" s="160"/>
    </row>
  </sheetData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3" tint="0.89999084444715716"/>
  </sheetPr>
  <dimension ref="A1:N42"/>
  <sheetViews>
    <sheetView showGridLines="0" zoomScale="115" zoomScaleNormal="115" zoomScaleSheetLayoutView="100" workbookViewId="0">
      <selection activeCell="D48" sqref="D48"/>
    </sheetView>
  </sheetViews>
  <sheetFormatPr defaultRowHeight="12.75" x14ac:dyDescent="0.2"/>
  <cols>
    <col min="1" max="1" width="10.140625" customWidth="1"/>
    <col min="2" max="2" width="16.85546875" customWidth="1"/>
    <col min="3" max="3" width="14.85546875" customWidth="1"/>
    <col min="4" max="14" width="11.140625" bestFit="1" customWidth="1"/>
  </cols>
  <sheetData>
    <row r="1" spans="1:14" x14ac:dyDescent="0.2">
      <c r="A1" s="39" t="s">
        <v>94</v>
      </c>
      <c r="B1" s="39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x14ac:dyDescent="0.2">
      <c r="A2" s="39" t="s">
        <v>95</v>
      </c>
      <c r="B2" s="39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</row>
    <row r="4" spans="1:14" x14ac:dyDescent="0.2">
      <c r="A4" s="139" t="s">
        <v>10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</row>
    <row r="5" spans="1:14" x14ac:dyDescent="0.2">
      <c r="D5" s="163">
        <v>1</v>
      </c>
      <c r="E5" s="163">
        <f t="shared" ref="E5:N5" si="0">1+D5</f>
        <v>2</v>
      </c>
      <c r="F5" s="163">
        <f t="shared" si="0"/>
        <v>3</v>
      </c>
      <c r="G5" s="163">
        <f t="shared" si="0"/>
        <v>4</v>
      </c>
      <c r="H5" s="163">
        <f t="shared" si="0"/>
        <v>5</v>
      </c>
      <c r="I5" s="163">
        <f t="shared" si="0"/>
        <v>6</v>
      </c>
      <c r="J5" s="163">
        <f t="shared" si="0"/>
        <v>7</v>
      </c>
      <c r="K5" s="163">
        <f t="shared" si="0"/>
        <v>8</v>
      </c>
      <c r="L5" s="163">
        <f t="shared" si="0"/>
        <v>9</v>
      </c>
      <c r="M5" s="163">
        <f t="shared" si="0"/>
        <v>10</v>
      </c>
      <c r="N5" s="163">
        <f t="shared" si="0"/>
        <v>11</v>
      </c>
    </row>
    <row r="6" spans="1:14" x14ac:dyDescent="0.2">
      <c r="C6" s="147" t="str">
        <f>+'Balance Sheet'!F4</f>
        <v>2024A</v>
      </c>
      <c r="D6" s="147" t="str">
        <f>+'Balance Sheet'!H4</f>
        <v>2025E</v>
      </c>
      <c r="E6" s="147" t="str">
        <f>+'Balance Sheet'!I4</f>
        <v>2026E</v>
      </c>
      <c r="F6" s="147" t="str">
        <f>+'Balance Sheet'!J4</f>
        <v>2027E</v>
      </c>
      <c r="G6" s="147" t="str">
        <f>+'Balance Sheet'!K4</f>
        <v>2028E</v>
      </c>
      <c r="H6" s="147" t="str">
        <f>+'Balance Sheet'!L4</f>
        <v>2029E</v>
      </c>
      <c r="I6" s="147" t="str">
        <f>+'Balance Sheet'!M4</f>
        <v>2030E</v>
      </c>
      <c r="J6" s="147" t="str">
        <f>+'Balance Sheet'!N4</f>
        <v>2031E</v>
      </c>
      <c r="K6" s="147" t="str">
        <f>+'Balance Sheet'!O4</f>
        <v>2032E</v>
      </c>
      <c r="L6" s="147" t="str">
        <f>+'Balance Sheet'!P4</f>
        <v>2033E</v>
      </c>
      <c r="M6" s="147" t="str">
        <f>+'Balance Sheet'!Q4</f>
        <v>2034E</v>
      </c>
      <c r="N6" s="147" t="str">
        <f>+'Balance Sheet'!R4</f>
        <v>2035E</v>
      </c>
    </row>
    <row r="8" spans="1:14" x14ac:dyDescent="0.2">
      <c r="A8" t="s">
        <v>32</v>
      </c>
      <c r="C8" s="17">
        <f>'Income Statement'!F45</f>
        <v>2.1149339999999976</v>
      </c>
      <c r="D8" s="17">
        <f>'Income Statement'!G34</f>
        <v>3.7016432529661696</v>
      </c>
      <c r="E8" s="17">
        <f>'Income Statement'!H34</f>
        <v>4.1273322270572841</v>
      </c>
      <c r="F8" s="17">
        <f>'Income Statement'!I34</f>
        <v>4.6019754331688709</v>
      </c>
      <c r="G8" s="17">
        <f>'Income Statement'!J34</f>
        <v>5.0851828536515988</v>
      </c>
      <c r="H8" s="17">
        <f>'Income Statement'!K34</f>
        <v>5.6191270532850233</v>
      </c>
      <c r="I8" s="17">
        <f>'Income Statement'!L34</f>
        <v>6.1810397586135188</v>
      </c>
      <c r="J8" s="17">
        <f>'Income Statement'!M34</f>
        <v>6.7991437344748746</v>
      </c>
      <c r="K8" s="17">
        <f>'Income Statement'!N34</f>
        <v>7.4450623892499941</v>
      </c>
      <c r="L8" s="17">
        <f>'Income Statement'!O34</f>
        <v>8.1523433162287446</v>
      </c>
      <c r="M8" s="17">
        <f>'Income Statement'!P34</f>
        <v>8.8860542146893344</v>
      </c>
      <c r="N8" s="17">
        <f>'Income Statement'!Q34</f>
        <v>9.6857990940113652</v>
      </c>
    </row>
    <row r="10" spans="1:14" x14ac:dyDescent="0.2">
      <c r="A10" t="s">
        <v>96</v>
      </c>
      <c r="D10" s="17">
        <f>-'Income Statement'!G37-'Income Statement'!C40</f>
        <v>0.56265128800000008</v>
      </c>
      <c r="E10" s="17">
        <f>-'Income Statement'!H37-'Income Statement'!D40</f>
        <v>0.54602635989600001</v>
      </c>
      <c r="F10" s="17">
        <f>-'Income Statement'!I37-'Income Statement'!E40</f>
        <v>0.58004483437412802</v>
      </c>
      <c r="G10" s="17">
        <f>-'Income Statement'!J37-'Income Statement'!F40</f>
        <v>0.56473568622723636</v>
      </c>
      <c r="H10" s="17">
        <f>-'Income Statement'!K37-'Income Statement'!G40</f>
        <v>0.57648039995178102</v>
      </c>
      <c r="I10" s="17">
        <f>-'Income Statement'!L37-'Income Statement'!H40</f>
        <v>0.58847350795081665</v>
      </c>
      <c r="J10" s="17">
        <f>-'Income Statement'!M37-'Income Statement'!I40</f>
        <v>0.600720383109833</v>
      </c>
      <c r="K10" s="17">
        <f>-'Income Statement'!N37-'Income Statement'!J40</f>
        <v>0.61322651792202965</v>
      </c>
      <c r="L10" s="17">
        <f>-'Income Statement'!O37-'Income Statement'!K40</f>
        <v>0.62599752724497026</v>
      </c>
      <c r="M10" s="17">
        <f>-'Income Statement'!P37-'Income Statement'!L40</f>
        <v>0.63903915112330467</v>
      </c>
      <c r="N10" s="17">
        <f>-'Income Statement'!Q37-'Income Statement'!M40</f>
        <v>0.65235725767920882</v>
      </c>
    </row>
    <row r="12" spans="1:14" x14ac:dyDescent="0.2">
      <c r="A12" t="s">
        <v>28</v>
      </c>
      <c r="D12" s="17">
        <f t="shared" ref="D12:N12" si="1">D8-D10</f>
        <v>3.1389919649661695</v>
      </c>
      <c r="E12" s="17">
        <f t="shared" si="1"/>
        <v>3.5813058671612841</v>
      </c>
      <c r="F12" s="17">
        <f t="shared" si="1"/>
        <v>4.0219305987947429</v>
      </c>
      <c r="G12" s="17">
        <f t="shared" si="1"/>
        <v>4.5204471674243623</v>
      </c>
      <c r="H12" s="17">
        <f t="shared" si="1"/>
        <v>5.0426466533332421</v>
      </c>
      <c r="I12" s="17">
        <f t="shared" si="1"/>
        <v>5.5925662506627019</v>
      </c>
      <c r="J12" s="17">
        <f t="shared" si="1"/>
        <v>6.198423351365042</v>
      </c>
      <c r="K12" s="17">
        <f t="shared" si="1"/>
        <v>6.8318358713279643</v>
      </c>
      <c r="L12" s="17">
        <f t="shared" si="1"/>
        <v>7.5263457889837744</v>
      </c>
      <c r="M12" s="17">
        <f t="shared" si="1"/>
        <v>8.24701506356603</v>
      </c>
      <c r="N12" s="17">
        <f t="shared" si="1"/>
        <v>9.0334418363321571</v>
      </c>
    </row>
    <row r="14" spans="1:14" x14ac:dyDescent="0.2">
      <c r="A14" t="s">
        <v>35</v>
      </c>
      <c r="D14" s="33">
        <f>'Income Statement'!G55</f>
        <v>-0.81692074817506155</v>
      </c>
      <c r="E14" s="33">
        <f>'Income Statement'!H55</f>
        <v>-0.94573197194648262</v>
      </c>
      <c r="F14" s="33">
        <f>'Income Statement'!I55</f>
        <v>-1.0882014264516153</v>
      </c>
      <c r="G14" s="33">
        <f>'Income Statement'!J55</f>
        <v>-1.2364082967662964</v>
      </c>
      <c r="H14" s="33">
        <f>'Income Statement'!K55</f>
        <v>-1.4071407284640218</v>
      </c>
      <c r="I14" s="33">
        <f>'Income Statement'!L55</f>
        <v>-1.5890243732506721</v>
      </c>
      <c r="J14" s="33">
        <f>'Income Statement'!M55</f>
        <v>-1.8139465944559903</v>
      </c>
      <c r="K14" s="33">
        <f>'Income Statement'!N55</f>
        <v>-2.0771724066007486</v>
      </c>
      <c r="L14" s="33">
        <f>'Income Statement'!O55</f>
        <v>-2.2745037852278198</v>
      </c>
      <c r="M14" s="33">
        <f>'Income Statement'!P55</f>
        <v>-2.4792091258983247</v>
      </c>
      <c r="N14" s="33">
        <f>'Income Statement'!Q55</f>
        <v>-2.7023379472291711</v>
      </c>
    </row>
    <row r="16" spans="1:14" x14ac:dyDescent="0.2">
      <c r="A16" t="s">
        <v>37</v>
      </c>
      <c r="D16" s="33">
        <f>'Income Statement'!G42</f>
        <v>-0.52368883477499995</v>
      </c>
      <c r="E16" s="33">
        <f>'Income Statement'!H42</f>
        <v>-0.97318841795687505</v>
      </c>
      <c r="F16" s="33">
        <f>'Income Statement'!I42</f>
        <v>-1.0851050860219158</v>
      </c>
      <c r="G16" s="33">
        <f>'Income Statement'!J42</f>
        <v>-0.71942467203253002</v>
      </c>
      <c r="H16" s="33">
        <f>'Income Statement'!K42</f>
        <v>-1.0599523501279275</v>
      </c>
      <c r="I16" s="33">
        <f>'Income Statement'!L42</f>
        <v>-0.99105544736961237</v>
      </c>
      <c r="J16" s="33">
        <f>'Income Statement'!M42</f>
        <v>-1.0901609921065738</v>
      </c>
      <c r="K16" s="33">
        <f>'Income Statement'!N42</f>
        <v>-1.0532878997264983</v>
      </c>
      <c r="L16" s="33">
        <f>'Income Statement'!O42</f>
        <v>-1.1533502502005157</v>
      </c>
      <c r="M16" s="33">
        <f>'Income Statement'!P42</f>
        <v>-1.2571517727185622</v>
      </c>
      <c r="N16" s="33">
        <f>'Income Statement'!Q42</f>
        <v>-1.3702954322632328</v>
      </c>
    </row>
    <row r="18" spans="1:14" x14ac:dyDescent="0.2">
      <c r="A18" t="s">
        <v>97</v>
      </c>
      <c r="D18" s="33">
        <f>'Cash Flow Statement'!G12</f>
        <v>1.6651441847020556</v>
      </c>
      <c r="E18" s="33">
        <f>'Cash Flow Statement'!H12</f>
        <v>-1.3797557345092657</v>
      </c>
      <c r="F18" s="33">
        <f>'Cash Flow Statement'!I12</f>
        <v>-1.5393352704503283</v>
      </c>
      <c r="G18" s="33">
        <f>'Cash Flow Statement'!J12</f>
        <v>-1.6842945956411395</v>
      </c>
      <c r="H18" s="33">
        <f>'Cash Flow Statement'!K12</f>
        <v>-1.7446792825639352</v>
      </c>
      <c r="I18" s="33">
        <f>'Cash Flow Statement'!L12</f>
        <v>-1.9085993596499504</v>
      </c>
      <c r="J18" s="33">
        <f>'Cash Flow Statement'!M12</f>
        <v>-2.0280295935407575</v>
      </c>
      <c r="K18" s="33">
        <f>'Cash Flow Statement'!N12</f>
        <v>-2.2073219714606802</v>
      </c>
      <c r="L18" s="33">
        <f>'Cash Flow Statement'!O12</f>
        <v>-2.3300009454021851</v>
      </c>
      <c r="M18" s="33">
        <f>'Cash Flow Statement'!P12</f>
        <v>-2.5229759112341785</v>
      </c>
      <c r="N18" s="33">
        <f>'Cash Flow Statement'!Q12</f>
        <v>-2.6450455909952177</v>
      </c>
    </row>
    <row r="20" spans="1:14" x14ac:dyDescent="0.2">
      <c r="A20" s="141" t="s">
        <v>167</v>
      </c>
      <c r="B20" s="141"/>
      <c r="C20" s="142"/>
      <c r="D20" s="127">
        <f t="shared" ref="D20:N20" si="2">D10+D12+D14+D16+D18</f>
        <v>4.0261778547181635</v>
      </c>
      <c r="E20" s="127">
        <f t="shared" si="2"/>
        <v>0.82865610264466083</v>
      </c>
      <c r="F20" s="127">
        <f t="shared" si="2"/>
        <v>0.88933365024501176</v>
      </c>
      <c r="G20" s="127">
        <f t="shared" si="2"/>
        <v>1.4450552892116328</v>
      </c>
      <c r="H20" s="127">
        <f t="shared" si="2"/>
        <v>1.4073546921291389</v>
      </c>
      <c r="I20" s="127">
        <f t="shared" si="2"/>
        <v>1.6923605783432838</v>
      </c>
      <c r="J20" s="127">
        <f t="shared" si="2"/>
        <v>1.8670065543715535</v>
      </c>
      <c r="K20" s="127">
        <f t="shared" si="2"/>
        <v>2.1072801114620665</v>
      </c>
      <c r="L20" s="127">
        <f t="shared" si="2"/>
        <v>2.3944883353982238</v>
      </c>
      <c r="M20" s="127">
        <f t="shared" si="2"/>
        <v>2.6267174048382689</v>
      </c>
      <c r="N20" s="127">
        <f t="shared" si="2"/>
        <v>2.9681201235237431</v>
      </c>
    </row>
    <row r="21" spans="1:14" x14ac:dyDescent="0.2">
      <c r="A21" s="143"/>
      <c r="B21" s="143"/>
      <c r="C21" s="144"/>
      <c r="D21" s="33"/>
      <c r="E21" s="33"/>
      <c r="F21" s="33"/>
      <c r="G21" s="33"/>
      <c r="H21" s="33"/>
      <c r="I21" s="33"/>
      <c r="J21" s="33"/>
      <c r="K21" s="33"/>
      <c r="L21" s="33"/>
      <c r="M21" s="33"/>
    </row>
    <row r="22" spans="1:14" x14ac:dyDescent="0.2">
      <c r="A22" s="145" t="s">
        <v>98</v>
      </c>
      <c r="B22" s="145"/>
      <c r="C22" s="145"/>
      <c r="D22" s="31">
        <f t="shared" ref="D22:N22" si="3">1/((1+$C$27)^D5)</f>
        <v>0.89774443953926852</v>
      </c>
      <c r="E22" s="31">
        <f t="shared" si="3"/>
        <v>0.80594507872367538</v>
      </c>
      <c r="F22" s="31">
        <f t="shared" si="3"/>
        <v>0.72353271299821764</v>
      </c>
      <c r="G22" s="31">
        <f t="shared" si="3"/>
        <v>0.64954746991891132</v>
      </c>
      <c r="H22" s="31">
        <f t="shared" si="3"/>
        <v>0.58312762933650297</v>
      </c>
      <c r="I22" s="31">
        <f t="shared" si="3"/>
        <v>0.52349958677856123</v>
      </c>
      <c r="J22" s="31">
        <f t="shared" si="3"/>
        <v>0.46996884313155812</v>
      </c>
      <c r="K22" s="31">
        <f t="shared" si="3"/>
        <v>0.42191191567805908</v>
      </c>
      <c r="L22" s="31">
        <f t="shared" si="3"/>
        <v>0.37876907627533823</v>
      </c>
      <c r="M22" s="31">
        <f t="shared" si="3"/>
        <v>0.34003783209561</v>
      </c>
      <c r="N22" s="31">
        <f t="shared" si="3"/>
        <v>0.30526707299682132</v>
      </c>
    </row>
    <row r="23" spans="1:14" x14ac:dyDescent="0.2">
      <c r="A23" s="146"/>
      <c r="B23" s="146"/>
      <c r="C23" s="146"/>
      <c r="D23" s="33"/>
      <c r="E23" s="33"/>
      <c r="F23" s="33"/>
      <c r="G23" s="33"/>
      <c r="H23" s="33"/>
      <c r="I23" s="33"/>
      <c r="J23" s="33"/>
      <c r="K23" s="33"/>
      <c r="L23" s="33"/>
      <c r="M23" s="33"/>
    </row>
    <row r="24" spans="1:14" x14ac:dyDescent="0.2">
      <c r="A24" s="146" t="s">
        <v>99</v>
      </c>
      <c r="B24" s="146"/>
      <c r="C24" s="146"/>
      <c r="D24" s="33">
        <f t="shared" ref="D24:N24" si="4">D20*D22</f>
        <v>3.614478781669372</v>
      </c>
      <c r="E24" s="33">
        <f t="shared" si="4"/>
        <v>0.66785130788080516</v>
      </c>
      <c r="F24" s="33">
        <f t="shared" si="4"/>
        <v>0.64346198872238136</v>
      </c>
      <c r="G24" s="33">
        <f t="shared" si="4"/>
        <v>0.93863200700035676</v>
      </c>
      <c r="H24" s="33">
        <f t="shared" si="4"/>
        <v>0.82066740525686876</v>
      </c>
      <c r="I24" s="33">
        <f t="shared" si="4"/>
        <v>0.88595006344303595</v>
      </c>
      <c r="J24" s="33">
        <f t="shared" si="4"/>
        <v>0.87743491047703548</v>
      </c>
      <c r="K24" s="33">
        <f t="shared" si="4"/>
        <v>0.88908658869723434</v>
      </c>
      <c r="L24" s="33">
        <f t="shared" si="4"/>
        <v>0.90695813495085753</v>
      </c>
      <c r="M24" s="33">
        <f t="shared" si="4"/>
        <v>0.89318329186901169</v>
      </c>
      <c r="N24" s="33">
        <f t="shared" si="4"/>
        <v>0.90606934241105686</v>
      </c>
    </row>
    <row r="27" spans="1:14" x14ac:dyDescent="0.2">
      <c r="A27" s="150" t="s">
        <v>100</v>
      </c>
      <c r="B27" s="151"/>
      <c r="C27" s="175">
        <f>'WACC Calculation'!C11</f>
        <v>0.11390275</v>
      </c>
    </row>
    <row r="28" spans="1:14" x14ac:dyDescent="0.2">
      <c r="A28" s="152" t="s">
        <v>158</v>
      </c>
      <c r="B28" s="143"/>
      <c r="C28" s="176">
        <v>0.02</v>
      </c>
    </row>
    <row r="29" spans="1:14" x14ac:dyDescent="0.2">
      <c r="A29" s="153"/>
      <c r="B29" s="146"/>
      <c r="C29" s="154"/>
    </row>
    <row r="30" spans="1:14" x14ac:dyDescent="0.2">
      <c r="A30" s="153"/>
      <c r="B30" s="146"/>
      <c r="C30" s="155"/>
    </row>
    <row r="31" spans="1:14" x14ac:dyDescent="0.2">
      <c r="A31" s="152" t="s">
        <v>102</v>
      </c>
      <c r="B31" s="143"/>
      <c r="C31" s="121">
        <f>(N20*(1+C28))/(C27-C28)</f>
        <v>32.240616233222333</v>
      </c>
    </row>
    <row r="32" spans="1:14" x14ac:dyDescent="0.2">
      <c r="A32" s="153" t="s">
        <v>103</v>
      </c>
      <c r="B32" s="146"/>
      <c r="C32" s="121">
        <f>C31*N22</f>
        <v>9.8419985491295847</v>
      </c>
    </row>
    <row r="33" spans="1:12" x14ac:dyDescent="0.2">
      <c r="A33" s="153"/>
      <c r="B33" s="146"/>
      <c r="C33" s="121"/>
    </row>
    <row r="34" spans="1:12" x14ac:dyDescent="0.2">
      <c r="A34" s="153" t="s">
        <v>164</v>
      </c>
      <c r="B34" s="146"/>
      <c r="C34" s="121">
        <f>SUM(D24:N24)</f>
        <v>12.043773822378014</v>
      </c>
    </row>
    <row r="35" spans="1:12" ht="12.75" customHeight="1" x14ac:dyDescent="0.2">
      <c r="A35" s="153"/>
      <c r="B35" s="146"/>
      <c r="C35" s="121"/>
      <c r="F35" s="247" t="s">
        <v>159</v>
      </c>
      <c r="H35" s="245" t="s">
        <v>105</v>
      </c>
      <c r="I35" s="246"/>
      <c r="J35" s="246"/>
      <c r="K35" s="246"/>
      <c r="L35" s="246"/>
    </row>
    <row r="36" spans="1:12" ht="12.75" customHeight="1" x14ac:dyDescent="0.2">
      <c r="A36" s="152" t="s">
        <v>106</v>
      </c>
      <c r="B36" s="143"/>
      <c r="C36" s="156">
        <f>+C32+C34</f>
        <v>21.885772371507599</v>
      </c>
      <c r="F36" s="247"/>
      <c r="G36" s="164"/>
      <c r="H36" s="244" t="s">
        <v>100</v>
      </c>
      <c r="I36" s="242"/>
      <c r="J36" s="242"/>
      <c r="K36" s="242"/>
      <c r="L36" s="242"/>
    </row>
    <row r="37" spans="1:12" x14ac:dyDescent="0.2">
      <c r="A37" s="153" t="s">
        <v>107</v>
      </c>
      <c r="B37" s="146"/>
      <c r="C37" s="121">
        <f>'Balance Sheet'!G33</f>
        <v>11.90172149999999</v>
      </c>
      <c r="F37" s="247"/>
      <c r="G37" s="165">
        <f>C36</f>
        <v>21.885772371507599</v>
      </c>
      <c r="H37" s="166">
        <f>+I37-0.01</f>
        <v>9.4281275000000012E-2</v>
      </c>
      <c r="I37" s="166">
        <f>+J37-0.01</f>
        <v>0.10428127500000001</v>
      </c>
      <c r="J37" s="177">
        <v>0.114281275</v>
      </c>
      <c r="K37" s="166">
        <f>+J37+0.01</f>
        <v>0.124281275</v>
      </c>
      <c r="L37" s="166">
        <f>+K37+0.01</f>
        <v>0.13428127500000001</v>
      </c>
    </row>
    <row r="38" spans="1:12" ht="12.75" customHeight="1" x14ac:dyDescent="0.2">
      <c r="A38" s="153" t="s">
        <v>108</v>
      </c>
      <c r="B38" s="146"/>
      <c r="C38" s="121">
        <v>0</v>
      </c>
      <c r="F38" s="247"/>
      <c r="G38" s="167">
        <f>+G39-0.005</f>
        <v>9.9999999999999985E-3</v>
      </c>
      <c r="H38" s="168">
        <f t="dataTable" ref="H38:L42" dt2D="1" dtr="1" r1="C27" r2="C28"/>
        <v>26.394233890848032</v>
      </c>
      <c r="I38" s="129">
        <v>23.263190278945377</v>
      </c>
      <c r="J38" s="129">
        <v>20.766145125934898</v>
      </c>
      <c r="K38" s="129">
        <v>18.733894691003105</v>
      </c>
      <c r="L38" s="120">
        <v>17.051941569310678</v>
      </c>
    </row>
    <row r="39" spans="1:12" x14ac:dyDescent="0.2">
      <c r="A39" s="157" t="s">
        <v>109</v>
      </c>
      <c r="B39" s="158"/>
      <c r="C39" s="159">
        <f>C36-C37</f>
        <v>9.9840508715076091</v>
      </c>
      <c r="F39" s="247"/>
      <c r="G39" s="167">
        <f>+G40-0.005</f>
        <v>1.4999999999999999E-2</v>
      </c>
      <c r="H39" s="169">
        <v>27.296345095905679</v>
      </c>
      <c r="I39" s="170">
        <v>23.917025884339161</v>
      </c>
      <c r="J39" s="170">
        <v>21.251913766446236</v>
      </c>
      <c r="K39" s="170">
        <v>19.102177012624125</v>
      </c>
      <c r="L39" s="121">
        <v>17.335907264702058</v>
      </c>
    </row>
    <row r="40" spans="1:12" x14ac:dyDescent="0.2">
      <c r="A40" s="160"/>
      <c r="B40" s="160"/>
      <c r="C40" s="33"/>
      <c r="F40" s="247"/>
      <c r="G40" s="178">
        <v>0.02</v>
      </c>
      <c r="H40" s="169">
        <v>28.319901605322698</v>
      </c>
      <c r="I40" s="170">
        <v>24.648439291610501</v>
      </c>
      <c r="J40" s="171">
        <v>21.789205749266149</v>
      </c>
      <c r="K40" s="170">
        <v>19.505775580773687</v>
      </c>
      <c r="L40" s="121">
        <v>17.644720923628267</v>
      </c>
    </row>
    <row r="41" spans="1:12" x14ac:dyDescent="0.2">
      <c r="A41" s="150" t="s">
        <v>110</v>
      </c>
      <c r="B41" s="151"/>
      <c r="C41" s="161">
        <f>+C36/D8</f>
        <v>5.9124477632927688</v>
      </c>
      <c r="F41" s="247"/>
      <c r="G41" s="167">
        <f>+G40+0.005</f>
        <v>2.5000000000000001E-2</v>
      </c>
      <c r="H41" s="169">
        <v>29.491197386197548</v>
      </c>
      <c r="I41" s="170">
        <v>25.472108204014837</v>
      </c>
      <c r="J41" s="170">
        <v>22.386677426296281</v>
      </c>
      <c r="K41" s="170">
        <v>19.95002618206339</v>
      </c>
      <c r="L41" s="121">
        <v>17.981793189431656</v>
      </c>
    </row>
    <row r="42" spans="1:12" x14ac:dyDescent="0.2">
      <c r="A42" s="157" t="s">
        <v>111</v>
      </c>
      <c r="B42" s="158"/>
      <c r="C42" s="162">
        <f>+C36/D12</f>
        <v>6.972229497804233</v>
      </c>
      <c r="F42" s="247"/>
      <c r="G42" s="167">
        <f>+G41+0.005</f>
        <v>3.0000000000000002E-2</v>
      </c>
      <c r="H42" s="172">
        <v>30.844707315885543</v>
      </c>
      <c r="I42" s="173">
        <v>26.406662250311182</v>
      </c>
      <c r="J42" s="173">
        <v>23.055039307233528</v>
      </c>
      <c r="K42" s="173">
        <v>20.441396489921516</v>
      </c>
      <c r="L42" s="174">
        <v>18.351188829283107</v>
      </c>
    </row>
  </sheetData>
  <mergeCells count="3">
    <mergeCell ref="H36:L36"/>
    <mergeCell ref="H35:L35"/>
    <mergeCell ref="F35:F4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56"/>
  <sheetViews>
    <sheetView showGridLines="0" zoomScaleNormal="100" workbookViewId="0">
      <selection activeCell="F65" sqref="F64:G65"/>
    </sheetView>
  </sheetViews>
  <sheetFormatPr defaultRowHeight="12.75" x14ac:dyDescent="0.2"/>
  <cols>
    <col min="1" max="1" width="4.42578125" customWidth="1"/>
    <col min="2" max="2" width="39.7109375" customWidth="1"/>
    <col min="7" max="7" width="9.5703125" bestFit="1" customWidth="1"/>
    <col min="8" max="8" width="9.140625" customWidth="1"/>
  </cols>
  <sheetData>
    <row r="1" spans="1:15" x14ac:dyDescent="0.2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</row>
    <row r="2" spans="1:15" x14ac:dyDescent="0.2">
      <c r="A2" s="38"/>
      <c r="B2" s="39" t="s">
        <v>112</v>
      </c>
      <c r="C2" s="40"/>
      <c r="D2" s="40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</row>
    <row r="3" spans="1:15" x14ac:dyDescent="0.2">
      <c r="A3" s="38"/>
      <c r="B3" s="38"/>
      <c r="C3" s="38"/>
      <c r="D3" s="37" t="s">
        <v>113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</row>
    <row r="4" spans="1:15" x14ac:dyDescent="0.2">
      <c r="A4" s="38"/>
      <c r="B4" s="38" t="s">
        <v>218</v>
      </c>
      <c r="C4" s="38"/>
      <c r="D4" s="41">
        <f>'Income Statement'!F34</f>
        <v>2.6448269999999976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</row>
    <row r="5" spans="1:15" x14ac:dyDescent="0.2">
      <c r="A5" s="38"/>
      <c r="B5" s="38" t="s">
        <v>219</v>
      </c>
      <c r="C5" s="38"/>
      <c r="D5" s="41">
        <f>'Income Statement'!G34</f>
        <v>3.7016432529661696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</row>
    <row r="6" spans="1:15" x14ac:dyDescent="0.2">
      <c r="A6" s="38"/>
      <c r="B6" s="35" t="s">
        <v>114</v>
      </c>
      <c r="C6" s="69">
        <v>6.5</v>
      </c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</row>
    <row r="7" spans="1:15" x14ac:dyDescent="0.2">
      <c r="A7" s="38"/>
      <c r="B7" s="35" t="s">
        <v>115</v>
      </c>
      <c r="C7" s="69">
        <v>4.5</v>
      </c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</row>
    <row r="8" spans="1:15" x14ac:dyDescent="0.2">
      <c r="A8" s="38"/>
      <c r="B8" s="35" t="s">
        <v>221</v>
      </c>
      <c r="C8" s="38"/>
      <c r="D8" s="70">
        <f>D4*C7</f>
        <v>11.90172149999999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</row>
    <row r="9" spans="1:15" x14ac:dyDescent="0.2">
      <c r="A9" s="38"/>
      <c r="B9" s="36" t="s">
        <v>116</v>
      </c>
      <c r="C9" s="71">
        <v>3</v>
      </c>
      <c r="D9" s="41">
        <f>D4*C9</f>
        <v>7.9344809999999928</v>
      </c>
      <c r="E9" s="73">
        <v>0.06</v>
      </c>
      <c r="F9" s="72" t="s">
        <v>117</v>
      </c>
      <c r="G9" s="41">
        <f>D9*E9</f>
        <v>0.47606885999999954</v>
      </c>
      <c r="H9" s="38"/>
      <c r="I9" s="38"/>
      <c r="J9" s="38"/>
      <c r="K9" s="38"/>
      <c r="L9" s="38"/>
      <c r="M9" s="38"/>
      <c r="N9" s="38"/>
      <c r="O9" s="38"/>
    </row>
    <row r="10" spans="1:15" x14ac:dyDescent="0.2">
      <c r="A10" s="38"/>
      <c r="B10" s="36" t="s">
        <v>118</v>
      </c>
      <c r="C10" s="71">
        <v>1.5</v>
      </c>
      <c r="D10" s="41">
        <f>D4*C10</f>
        <v>3.9672404999999964</v>
      </c>
      <c r="E10" s="42">
        <v>7.4999999999999997E-2</v>
      </c>
      <c r="F10" s="72" t="s">
        <v>119</v>
      </c>
      <c r="G10" s="41">
        <f>D10*E10</f>
        <v>0.29754303749999972</v>
      </c>
      <c r="H10" s="38"/>
      <c r="I10" s="38"/>
      <c r="J10" s="38"/>
      <c r="K10" s="38"/>
      <c r="L10" s="38"/>
      <c r="M10" s="38"/>
      <c r="N10" s="38"/>
      <c r="O10" s="38"/>
    </row>
    <row r="11" spans="1:15" x14ac:dyDescent="0.2">
      <c r="A11" s="38"/>
      <c r="B11" s="75" t="s">
        <v>106</v>
      </c>
      <c r="C11" s="76"/>
      <c r="D11" s="77">
        <f>D5*C6</f>
        <v>24.060681144280103</v>
      </c>
      <c r="E11" s="38"/>
      <c r="F11" s="38"/>
      <c r="G11" s="73">
        <f>(G9+G10)/D8</f>
        <v>6.4999999999999988E-2</v>
      </c>
      <c r="H11" s="38" t="s">
        <v>120</v>
      </c>
      <c r="I11" s="38"/>
      <c r="J11" s="38"/>
      <c r="K11" s="38"/>
      <c r="L11" s="38"/>
      <c r="M11" s="38"/>
      <c r="N11" s="38"/>
      <c r="O11" s="38"/>
    </row>
    <row r="12" spans="1:15" x14ac:dyDescent="0.2">
      <c r="A12" s="38"/>
      <c r="B12" s="78" t="s">
        <v>220</v>
      </c>
      <c r="C12" s="79"/>
      <c r="D12" s="80">
        <f>D11-D8</f>
        <v>12.158959644280113</v>
      </c>
      <c r="E12" s="42">
        <f>D12/D11</f>
        <v>0.5053456122612987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</row>
    <row r="13" spans="1:15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</row>
    <row r="14" spans="1:15" x14ac:dyDescent="0.2">
      <c r="A14" s="38"/>
      <c r="B14" s="180" t="s">
        <v>10</v>
      </c>
      <c r="C14" s="181" t="str">
        <f>'Income Statement'!G4</f>
        <v>2025E</v>
      </c>
      <c r="D14" s="181" t="str">
        <f>'Income Statement'!H4</f>
        <v>2026E</v>
      </c>
      <c r="E14" s="181" t="str">
        <f>'Income Statement'!I4</f>
        <v>2027E</v>
      </c>
      <c r="F14" s="181" t="str">
        <f>'Income Statement'!J4</f>
        <v>2028E</v>
      </c>
      <c r="G14" s="181" t="str">
        <f>'Income Statement'!K4</f>
        <v>2029E</v>
      </c>
      <c r="H14" s="181" t="str">
        <f>'Income Statement'!L4</f>
        <v>2030E</v>
      </c>
      <c r="I14" s="181" t="str">
        <f>'Income Statement'!M4</f>
        <v>2031E</v>
      </c>
      <c r="J14" s="181" t="str">
        <f>'Income Statement'!N4</f>
        <v>2032E</v>
      </c>
      <c r="K14" s="181" t="str">
        <f>'Income Statement'!O4</f>
        <v>2033E</v>
      </c>
      <c r="L14" s="181" t="str">
        <f>'Income Statement'!P4</f>
        <v>2034E</v>
      </c>
      <c r="M14" s="147" t="str">
        <f>+'Balance Sheet'!R4</f>
        <v>2035E</v>
      </c>
      <c r="N14" s="38"/>
      <c r="O14" s="38"/>
    </row>
    <row r="15" spans="1:15" x14ac:dyDescent="0.2">
      <c r="A15" s="38"/>
      <c r="B15" s="179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8"/>
      <c r="N15" s="38"/>
      <c r="O15" s="38"/>
    </row>
    <row r="16" spans="1:15" x14ac:dyDescent="0.2">
      <c r="A16" s="38"/>
      <c r="B16" s="32" t="s">
        <v>121</v>
      </c>
      <c r="C16" s="33">
        <f>DCF!D20</f>
        <v>4.0261778547181635</v>
      </c>
      <c r="D16" s="33">
        <f>DCF!E20</f>
        <v>0.82865610264466083</v>
      </c>
      <c r="E16" s="33">
        <f>DCF!F20</f>
        <v>0.88933365024501176</v>
      </c>
      <c r="F16" s="33">
        <f>DCF!G20</f>
        <v>1.4450552892116328</v>
      </c>
      <c r="G16" s="33">
        <f>DCF!H20</f>
        <v>1.4073546921291389</v>
      </c>
      <c r="H16" s="33">
        <f>DCF!I20</f>
        <v>1.6923605783432838</v>
      </c>
      <c r="I16" s="33">
        <f>DCF!J20</f>
        <v>1.8670065543715535</v>
      </c>
      <c r="J16" s="33">
        <f>DCF!K20</f>
        <v>2.1072801114620665</v>
      </c>
      <c r="K16" s="33">
        <f>DCF!L20</f>
        <v>2.3944883353982238</v>
      </c>
      <c r="L16" s="33">
        <f>DCF!M20</f>
        <v>2.6267174048382689</v>
      </c>
      <c r="M16" s="33">
        <f>DCF!N20</f>
        <v>2.9681201235237431</v>
      </c>
      <c r="N16" s="38"/>
      <c r="O16" s="38"/>
    </row>
    <row r="17" spans="1:15" x14ac:dyDescent="0.2">
      <c r="A17" s="38"/>
      <c r="B17" s="32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8"/>
      <c r="N17" s="38"/>
      <c r="O17" s="38"/>
    </row>
    <row r="18" spans="1:15" x14ac:dyDescent="0.2">
      <c r="A18" s="38"/>
      <c r="B18" s="32" t="s">
        <v>122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8"/>
      <c r="N18" s="38"/>
      <c r="O18" s="38"/>
    </row>
    <row r="19" spans="1:15" x14ac:dyDescent="0.2">
      <c r="A19" s="38"/>
      <c r="B19" s="96" t="s">
        <v>123</v>
      </c>
      <c r="C19" s="33">
        <f t="shared" ref="C19:M19" si="0">+C54</f>
        <v>-0.77361189749999926</v>
      </c>
      <c r="D19" s="33">
        <f t="shared" si="0"/>
        <v>-0.73761189749999923</v>
      </c>
      <c r="E19" s="33">
        <f t="shared" si="0"/>
        <v>-0.7016118974999993</v>
      </c>
      <c r="F19" s="33">
        <f t="shared" si="0"/>
        <v>-0.65361189749999937</v>
      </c>
      <c r="G19" s="33">
        <f t="shared" si="0"/>
        <v>-0.5756118974999993</v>
      </c>
      <c r="H19" s="33">
        <f t="shared" si="0"/>
        <v>-0.48561189749999933</v>
      </c>
      <c r="I19" s="33">
        <f t="shared" si="0"/>
        <v>-0.29754303749999972</v>
      </c>
      <c r="J19" s="33">
        <f t="shared" si="0"/>
        <v>0</v>
      </c>
      <c r="K19" s="33">
        <f t="shared" si="0"/>
        <v>0</v>
      </c>
      <c r="L19" s="33">
        <f t="shared" si="0"/>
        <v>0</v>
      </c>
      <c r="M19" s="33">
        <f t="shared" si="0"/>
        <v>0</v>
      </c>
      <c r="N19" s="38"/>
      <c r="O19" s="38"/>
    </row>
    <row r="20" spans="1:15" x14ac:dyDescent="0.2">
      <c r="A20" s="38"/>
      <c r="B20" s="96" t="s">
        <v>124</v>
      </c>
      <c r="C20" s="33">
        <f t="shared" ref="C20:M20" si="1">+C55</f>
        <v>-0.6</v>
      </c>
      <c r="D20" s="33">
        <f t="shared" si="1"/>
        <v>-0.6</v>
      </c>
      <c r="E20" s="33">
        <f t="shared" si="1"/>
        <v>-0.8</v>
      </c>
      <c r="F20" s="33">
        <f t="shared" si="1"/>
        <v>-1.3</v>
      </c>
      <c r="G20" s="33">
        <f t="shared" si="1"/>
        <v>-1.5</v>
      </c>
      <c r="H20" s="33">
        <f t="shared" si="1"/>
        <v>-3.1344809999999939</v>
      </c>
      <c r="I20" s="33">
        <f t="shared" si="1"/>
        <v>-3.9672404999999964</v>
      </c>
      <c r="J20" s="33">
        <f t="shared" si="1"/>
        <v>0</v>
      </c>
      <c r="K20" s="33">
        <f t="shared" si="1"/>
        <v>0</v>
      </c>
      <c r="L20" s="33">
        <f t="shared" si="1"/>
        <v>0</v>
      </c>
      <c r="M20" s="33">
        <f t="shared" si="1"/>
        <v>0</v>
      </c>
      <c r="N20" s="38"/>
      <c r="O20" s="38"/>
    </row>
    <row r="21" spans="1:15" x14ac:dyDescent="0.2">
      <c r="A21" s="38"/>
      <c r="B21" s="122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8"/>
      <c r="N21" s="38"/>
      <c r="O21" s="38"/>
    </row>
    <row r="22" spans="1:15" ht="13.5" customHeight="1" thickBot="1" x14ac:dyDescent="0.25">
      <c r="A22" s="38"/>
      <c r="B22" s="131" t="s">
        <v>125</v>
      </c>
      <c r="C22" s="133">
        <f>+C16+C19+C20</f>
        <v>2.6525659572181639</v>
      </c>
      <c r="D22" s="133">
        <f t="shared" ref="D22:M22" si="2">+D16+D19+D20</f>
        <v>-0.50895579485533837</v>
      </c>
      <c r="E22" s="133">
        <f t="shared" si="2"/>
        <v>-0.61227824725498758</v>
      </c>
      <c r="F22" s="133">
        <f t="shared" si="2"/>
        <v>-0.50855660828836657</v>
      </c>
      <c r="G22" s="133">
        <f t="shared" si="2"/>
        <v>-0.66825720537086042</v>
      </c>
      <c r="H22" s="133">
        <f t="shared" si="2"/>
        <v>-1.9277323191567093</v>
      </c>
      <c r="I22" s="133">
        <f t="shared" si="2"/>
        <v>-2.3977769831284426</v>
      </c>
      <c r="J22" s="133">
        <f t="shared" si="2"/>
        <v>2.1072801114620665</v>
      </c>
      <c r="K22" s="133">
        <f t="shared" si="2"/>
        <v>2.3944883353982238</v>
      </c>
      <c r="L22" s="133">
        <f t="shared" si="2"/>
        <v>2.6267174048382689</v>
      </c>
      <c r="M22" s="133">
        <f t="shared" si="2"/>
        <v>2.9681201235237431</v>
      </c>
      <c r="N22" s="38"/>
      <c r="O22" s="38"/>
    </row>
    <row r="23" spans="1:15" ht="13.5" customHeight="1" thickTop="1" x14ac:dyDescent="0.2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</row>
    <row r="24" spans="1:15" x14ac:dyDescent="0.2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</row>
    <row r="25" spans="1:15" x14ac:dyDescent="0.2">
      <c r="A25" s="38"/>
      <c r="B25" s="39" t="s">
        <v>116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</row>
    <row r="26" spans="1:15" x14ac:dyDescent="0.2">
      <c r="A26" s="38"/>
      <c r="B26" s="38"/>
      <c r="C26" s="38">
        <v>1</v>
      </c>
      <c r="D26" s="38">
        <v>2</v>
      </c>
      <c r="E26" s="38">
        <v>3</v>
      </c>
      <c r="F26" s="38">
        <v>4</v>
      </c>
      <c r="G26" s="38">
        <v>5</v>
      </c>
      <c r="H26" s="38">
        <v>6</v>
      </c>
      <c r="I26" s="38">
        <v>7</v>
      </c>
      <c r="J26" s="38">
        <v>8</v>
      </c>
      <c r="K26" s="38">
        <v>9</v>
      </c>
      <c r="L26">
        <v>10</v>
      </c>
      <c r="M26">
        <v>11</v>
      </c>
      <c r="N26" s="38"/>
      <c r="O26" s="38"/>
    </row>
    <row r="27" spans="1:15" x14ac:dyDescent="0.2">
      <c r="A27" s="38"/>
      <c r="B27" s="43" t="s">
        <v>10</v>
      </c>
      <c r="C27" s="44" t="str">
        <f>'Income Statement'!G4</f>
        <v>2025E</v>
      </c>
      <c r="D27" s="44" t="str">
        <f>'Income Statement'!H4</f>
        <v>2026E</v>
      </c>
      <c r="E27" s="44" t="str">
        <f>'Income Statement'!I4</f>
        <v>2027E</v>
      </c>
      <c r="F27" s="44" t="str">
        <f>'Income Statement'!J4</f>
        <v>2028E</v>
      </c>
      <c r="G27" s="44" t="str">
        <f>'Income Statement'!K4</f>
        <v>2029E</v>
      </c>
      <c r="H27" s="44" t="str">
        <f>'Income Statement'!L4</f>
        <v>2030E</v>
      </c>
      <c r="I27" s="44" t="str">
        <f>'Income Statement'!M4</f>
        <v>2031E</v>
      </c>
      <c r="J27" s="44" t="str">
        <f>'Income Statement'!N4</f>
        <v>2032E</v>
      </c>
      <c r="K27" s="44" t="str">
        <f>'Income Statement'!O4</f>
        <v>2033E</v>
      </c>
      <c r="L27" s="44" t="str">
        <f>'Income Statement'!P4</f>
        <v>2034E</v>
      </c>
      <c r="M27" s="44" t="str">
        <f>'Income Statement'!Q4</f>
        <v>2035E</v>
      </c>
      <c r="N27" s="38"/>
      <c r="O27" s="38"/>
    </row>
    <row r="28" spans="1:15" x14ac:dyDescent="0.2">
      <c r="A28" s="38"/>
      <c r="B28" s="38" t="s">
        <v>86</v>
      </c>
      <c r="C28" s="237">
        <f>D9</f>
        <v>7.9344809999999928</v>
      </c>
      <c r="D28" s="41">
        <f t="shared" ref="D28:I28" si="3">C31</f>
        <v>7.3344809999999931</v>
      </c>
      <c r="E28" s="41">
        <f t="shared" si="3"/>
        <v>6.7344809999999935</v>
      </c>
      <c r="F28" s="41">
        <f t="shared" si="3"/>
        <v>5.9344809999999937</v>
      </c>
      <c r="G28" s="41">
        <f t="shared" si="3"/>
        <v>4.6344809999999939</v>
      </c>
      <c r="H28" s="41">
        <f t="shared" si="3"/>
        <v>3.1344809999999939</v>
      </c>
      <c r="I28" s="33">
        <f t="shared" si="3"/>
        <v>0</v>
      </c>
      <c r="J28" s="41"/>
      <c r="K28" s="41"/>
      <c r="L28" s="41"/>
      <c r="M28" s="41"/>
      <c r="N28" s="38"/>
      <c r="O28" s="38"/>
    </row>
    <row r="29" spans="1:15" x14ac:dyDescent="0.2">
      <c r="A29" s="38"/>
      <c r="B29" s="14" t="s">
        <v>87</v>
      </c>
      <c r="C29" s="41"/>
      <c r="D29" s="45"/>
      <c r="E29" s="41"/>
      <c r="F29" s="41"/>
      <c r="G29" s="41"/>
      <c r="H29" s="41"/>
      <c r="I29" s="41"/>
      <c r="J29" s="41"/>
      <c r="K29" s="41"/>
      <c r="L29" s="41"/>
      <c r="M29" s="41"/>
      <c r="N29" s="38"/>
      <c r="O29" s="38"/>
    </row>
    <row r="30" spans="1:15" x14ac:dyDescent="0.2">
      <c r="A30" s="38"/>
      <c r="B30" s="14" t="s">
        <v>92</v>
      </c>
      <c r="C30" s="33">
        <v>-0.6</v>
      </c>
      <c r="D30" s="33">
        <v>-0.6</v>
      </c>
      <c r="E30" s="33">
        <v>-0.8</v>
      </c>
      <c r="F30" s="33">
        <v>-1.3</v>
      </c>
      <c r="G30" s="33">
        <v>-1.5</v>
      </c>
      <c r="H30" s="27">
        <f>-G31</f>
        <v>-3.1344809999999939</v>
      </c>
      <c r="J30" s="33"/>
      <c r="K30" s="33"/>
      <c r="L30" s="38"/>
      <c r="M30" s="38"/>
      <c r="N30" s="38"/>
      <c r="O30" s="38"/>
    </row>
    <row r="31" spans="1:15" ht="13.5" customHeight="1" thickBot="1" x14ac:dyDescent="0.25">
      <c r="A31" s="38"/>
      <c r="B31" s="46" t="s">
        <v>90</v>
      </c>
      <c r="C31" s="81">
        <f t="shared" ref="C31:M31" si="4">C28+C29+C30</f>
        <v>7.3344809999999931</v>
      </c>
      <c r="D31" s="81">
        <f t="shared" si="4"/>
        <v>6.7344809999999935</v>
      </c>
      <c r="E31" s="81">
        <f t="shared" si="4"/>
        <v>5.9344809999999937</v>
      </c>
      <c r="F31" s="81">
        <f t="shared" si="4"/>
        <v>4.6344809999999939</v>
      </c>
      <c r="G31" s="81">
        <f t="shared" si="4"/>
        <v>3.1344809999999939</v>
      </c>
      <c r="H31" s="47">
        <f t="shared" si="4"/>
        <v>0</v>
      </c>
      <c r="I31" s="47">
        <f t="shared" si="4"/>
        <v>0</v>
      </c>
      <c r="J31" s="47">
        <f t="shared" si="4"/>
        <v>0</v>
      </c>
      <c r="K31" s="47">
        <f t="shared" si="4"/>
        <v>0</v>
      </c>
      <c r="L31" s="47">
        <f t="shared" si="4"/>
        <v>0</v>
      </c>
      <c r="M31" s="47">
        <f t="shared" si="4"/>
        <v>0</v>
      </c>
      <c r="N31" s="38"/>
      <c r="O31" s="38"/>
    </row>
    <row r="32" spans="1:15" ht="13.5" customHeight="1" thickTop="1" x14ac:dyDescent="0.2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</row>
    <row r="33" spans="1:17" x14ac:dyDescent="0.2">
      <c r="A33" s="38"/>
      <c r="B33" s="28" t="s">
        <v>93</v>
      </c>
      <c r="C33" s="74">
        <f>E9</f>
        <v>0.06</v>
      </c>
      <c r="D33" s="30"/>
      <c r="E33" s="30"/>
      <c r="F33" s="30"/>
      <c r="G33" s="30"/>
      <c r="H33" s="31"/>
      <c r="I33" s="31"/>
      <c r="J33" s="31"/>
      <c r="K33" s="31"/>
      <c r="L33" s="31"/>
      <c r="M33" s="38"/>
      <c r="N33" s="38"/>
      <c r="O33" s="38"/>
    </row>
    <row r="34" spans="1:17" x14ac:dyDescent="0.2">
      <c r="A34" s="38"/>
      <c r="B34" s="32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8"/>
      <c r="N34" s="38"/>
      <c r="O34" s="38"/>
    </row>
    <row r="35" spans="1:17" x14ac:dyDescent="0.2">
      <c r="A35" s="38"/>
      <c r="B35" s="28" t="s">
        <v>33</v>
      </c>
      <c r="C35" s="34">
        <f t="shared" ref="C35:I35" si="5">+C28*$C$33</f>
        <v>0.47606885999999954</v>
      </c>
      <c r="D35" s="34">
        <f t="shared" si="5"/>
        <v>0.44006885999999956</v>
      </c>
      <c r="E35" s="34">
        <f t="shared" si="5"/>
        <v>0.40406885999999959</v>
      </c>
      <c r="F35" s="34">
        <f t="shared" si="5"/>
        <v>0.3560688599999996</v>
      </c>
      <c r="G35" s="34">
        <f t="shared" si="5"/>
        <v>0.27806885999999964</v>
      </c>
      <c r="H35" s="34">
        <f t="shared" si="5"/>
        <v>0.18806885999999962</v>
      </c>
      <c r="I35" s="34">
        <f t="shared" si="5"/>
        <v>0</v>
      </c>
      <c r="J35" s="34">
        <f>+J28*$C$47</f>
        <v>0</v>
      </c>
      <c r="K35" s="34"/>
      <c r="L35" s="34"/>
      <c r="M35" s="34"/>
      <c r="N35" s="38"/>
      <c r="O35" s="38"/>
    </row>
    <row r="36" spans="1:17" x14ac:dyDescent="0.2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</row>
    <row r="37" spans="1:17" x14ac:dyDescent="0.2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</row>
    <row r="38" spans="1:17" x14ac:dyDescent="0.2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</row>
    <row r="39" spans="1:17" x14ac:dyDescent="0.2">
      <c r="A39" s="38"/>
      <c r="B39" s="39" t="s">
        <v>118</v>
      </c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</row>
    <row r="40" spans="1:17" x14ac:dyDescent="0.2">
      <c r="A40" s="38"/>
      <c r="B40" s="38"/>
      <c r="C40" s="38">
        <v>1</v>
      </c>
      <c r="D40" s="38">
        <v>2</v>
      </c>
      <c r="E40" s="38">
        <v>3</v>
      </c>
      <c r="F40" s="38">
        <v>4</v>
      </c>
      <c r="G40" s="38">
        <v>5</v>
      </c>
      <c r="H40" s="38">
        <v>6</v>
      </c>
      <c r="I40" s="38">
        <v>7</v>
      </c>
      <c r="J40">
        <v>8</v>
      </c>
      <c r="K40" s="38">
        <v>9</v>
      </c>
      <c r="L40">
        <v>10</v>
      </c>
      <c r="M40">
        <v>11</v>
      </c>
      <c r="N40" s="38"/>
      <c r="O40" s="38"/>
    </row>
    <row r="41" spans="1:17" x14ac:dyDescent="0.2">
      <c r="A41" s="38"/>
      <c r="B41" s="43" t="s">
        <v>10</v>
      </c>
      <c r="C41" s="44" t="str">
        <f>'Income Statement'!G4</f>
        <v>2025E</v>
      </c>
      <c r="D41" s="44" t="str">
        <f>'Income Statement'!H4</f>
        <v>2026E</v>
      </c>
      <c r="E41" s="44" t="str">
        <f>'Income Statement'!I4</f>
        <v>2027E</v>
      </c>
      <c r="F41" s="44" t="str">
        <f>'Income Statement'!J4</f>
        <v>2028E</v>
      </c>
      <c r="G41" s="44" t="str">
        <f>'Income Statement'!K4</f>
        <v>2029E</v>
      </c>
      <c r="H41" s="44" t="str">
        <f>'Income Statement'!L4</f>
        <v>2030E</v>
      </c>
      <c r="I41" s="44" t="str">
        <f>'Income Statement'!M4</f>
        <v>2031E</v>
      </c>
      <c r="J41" s="44" t="str">
        <f>'Income Statement'!N4</f>
        <v>2032E</v>
      </c>
      <c r="K41" s="44" t="str">
        <f>'Income Statement'!O4</f>
        <v>2033E</v>
      </c>
      <c r="L41" s="44" t="str">
        <f>'Income Statement'!P4</f>
        <v>2034E</v>
      </c>
      <c r="M41" s="44" t="str">
        <f>'Income Statement'!Q4</f>
        <v>2035E</v>
      </c>
      <c r="N41" s="38"/>
      <c r="O41" s="38"/>
    </row>
    <row r="42" spans="1:17" x14ac:dyDescent="0.2">
      <c r="A42" s="38"/>
      <c r="B42" s="38" t="s">
        <v>86</v>
      </c>
      <c r="C42" s="237">
        <f>D10</f>
        <v>3.9672404999999964</v>
      </c>
      <c r="D42" s="41">
        <f t="shared" ref="D42:I42" si="6">C45</f>
        <v>3.9672404999999964</v>
      </c>
      <c r="E42" s="41">
        <f t="shared" si="6"/>
        <v>3.9672404999999964</v>
      </c>
      <c r="F42" s="41">
        <f t="shared" si="6"/>
        <v>3.9672404999999964</v>
      </c>
      <c r="G42" s="41">
        <f t="shared" si="6"/>
        <v>3.9672404999999964</v>
      </c>
      <c r="H42" s="41">
        <f t="shared" si="6"/>
        <v>3.9672404999999964</v>
      </c>
      <c r="I42" s="41">
        <f t="shared" si="6"/>
        <v>3.9672404999999964</v>
      </c>
      <c r="J42" s="41"/>
      <c r="K42" s="41"/>
      <c r="L42" s="41"/>
      <c r="M42" s="41"/>
      <c r="N42" s="41"/>
      <c r="O42" s="41"/>
      <c r="P42" s="17"/>
      <c r="Q42" s="17"/>
    </row>
    <row r="43" spans="1:17" x14ac:dyDescent="0.2">
      <c r="A43" s="38"/>
      <c r="B43" s="14" t="s">
        <v>87</v>
      </c>
      <c r="C43" s="41"/>
      <c r="D43" s="45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17"/>
      <c r="Q43" s="17"/>
    </row>
    <row r="44" spans="1:17" x14ac:dyDescent="0.2">
      <c r="A44" s="38"/>
      <c r="B44" s="14" t="s">
        <v>92</v>
      </c>
      <c r="C44" s="33">
        <v>0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27">
        <f>-C42</f>
        <v>-3.9672404999999964</v>
      </c>
      <c r="J44" s="33"/>
      <c r="K44" s="33"/>
      <c r="L44" s="38"/>
      <c r="M44" s="38"/>
      <c r="N44" s="38"/>
      <c r="O44" s="38"/>
    </row>
    <row r="45" spans="1:17" ht="13.5" customHeight="1" thickBot="1" x14ac:dyDescent="0.25">
      <c r="A45" s="38"/>
      <c r="B45" s="46" t="s">
        <v>90</v>
      </c>
      <c r="C45" s="81">
        <f t="shared" ref="C45:H45" si="7">C42+C43+C44</f>
        <v>3.9672404999999964</v>
      </c>
      <c r="D45" s="81">
        <f t="shared" si="7"/>
        <v>3.9672404999999964</v>
      </c>
      <c r="E45" s="81">
        <f t="shared" si="7"/>
        <v>3.9672404999999964</v>
      </c>
      <c r="F45" s="81">
        <f t="shared" si="7"/>
        <v>3.9672404999999964</v>
      </c>
      <c r="G45" s="81">
        <f t="shared" si="7"/>
        <v>3.9672404999999964</v>
      </c>
      <c r="H45" s="81">
        <f t="shared" si="7"/>
        <v>3.9672404999999964</v>
      </c>
      <c r="I45" s="182">
        <f>+I42+I43+I44</f>
        <v>0</v>
      </c>
      <c r="J45" s="182">
        <f>+J42+J43+J44</f>
        <v>0</v>
      </c>
      <c r="K45" s="47">
        <f>K42+K43+K44</f>
        <v>0</v>
      </c>
      <c r="L45" s="47">
        <f>L42+L43+L44</f>
        <v>0</v>
      </c>
      <c r="M45" s="47">
        <f>M42+M43+M44</f>
        <v>0</v>
      </c>
      <c r="N45" s="38"/>
      <c r="O45" s="38"/>
    </row>
    <row r="46" spans="1:17" ht="13.5" customHeight="1" thickTop="1" x14ac:dyDescent="0.2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</row>
    <row r="47" spans="1:17" x14ac:dyDescent="0.2">
      <c r="A47" s="38"/>
      <c r="B47" s="28" t="s">
        <v>93</v>
      </c>
      <c r="C47" s="29">
        <f>+E10</f>
        <v>7.4999999999999997E-2</v>
      </c>
      <c r="D47" s="30"/>
      <c r="E47" s="30"/>
      <c r="F47" s="30"/>
      <c r="G47" s="30"/>
      <c r="H47" s="31"/>
      <c r="I47" s="31"/>
      <c r="J47" s="31"/>
      <c r="K47" s="31"/>
      <c r="L47" s="31"/>
      <c r="M47" s="38"/>
      <c r="N47" s="38"/>
      <c r="O47" s="38"/>
    </row>
    <row r="48" spans="1:17" x14ac:dyDescent="0.2">
      <c r="A48" s="38"/>
      <c r="B48" s="32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8"/>
      <c r="N48" s="38"/>
      <c r="O48" s="38"/>
    </row>
    <row r="49" spans="1:15" x14ac:dyDescent="0.2">
      <c r="A49" s="38"/>
      <c r="B49" s="28" t="s">
        <v>33</v>
      </c>
      <c r="C49" s="34">
        <f t="shared" ref="C49:I49" si="8">+C42*$C$47</f>
        <v>0.29754303749999972</v>
      </c>
      <c r="D49" s="34">
        <f t="shared" si="8"/>
        <v>0.29754303749999972</v>
      </c>
      <c r="E49" s="34">
        <f t="shared" si="8"/>
        <v>0.29754303749999972</v>
      </c>
      <c r="F49" s="34">
        <f t="shared" si="8"/>
        <v>0.29754303749999972</v>
      </c>
      <c r="G49" s="34">
        <f t="shared" si="8"/>
        <v>0.29754303749999972</v>
      </c>
      <c r="H49" s="34">
        <f t="shared" si="8"/>
        <v>0.29754303749999972</v>
      </c>
      <c r="I49" s="34">
        <f t="shared" si="8"/>
        <v>0.29754303749999972</v>
      </c>
      <c r="J49" s="34"/>
      <c r="K49" s="34"/>
      <c r="L49" s="34"/>
      <c r="M49" s="34"/>
      <c r="N49" s="38"/>
      <c r="O49" s="38"/>
    </row>
    <row r="50" spans="1:15" x14ac:dyDescent="0.2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  <row r="51" spans="1:15" x14ac:dyDescent="0.2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</row>
    <row r="52" spans="1:15" x14ac:dyDescent="0.2">
      <c r="A52" s="38"/>
      <c r="B52" s="43" t="s">
        <v>10</v>
      </c>
      <c r="C52" s="44" t="str">
        <f>'Income Statement'!G4</f>
        <v>2025E</v>
      </c>
      <c r="D52" s="44" t="str">
        <f>'Income Statement'!H4</f>
        <v>2026E</v>
      </c>
      <c r="E52" s="44" t="str">
        <f>'Income Statement'!I4</f>
        <v>2027E</v>
      </c>
      <c r="F52" s="44" t="str">
        <f>'Income Statement'!J4</f>
        <v>2028E</v>
      </c>
      <c r="G52" s="44" t="str">
        <f>'Income Statement'!K4</f>
        <v>2029E</v>
      </c>
      <c r="H52" s="44" t="str">
        <f>'Income Statement'!L4</f>
        <v>2030E</v>
      </c>
      <c r="I52" s="44" t="str">
        <f>'Income Statement'!M4</f>
        <v>2031E</v>
      </c>
      <c r="J52" s="44" t="str">
        <f>'Income Statement'!N4</f>
        <v>2032E</v>
      </c>
      <c r="K52" s="44" t="str">
        <f>'Income Statement'!O4</f>
        <v>2033E</v>
      </c>
      <c r="L52" s="44" t="str">
        <f>'Income Statement'!P4</f>
        <v>2034E</v>
      </c>
      <c r="M52" s="44" t="str">
        <f>'Income Statement'!Q4</f>
        <v>2035E</v>
      </c>
      <c r="N52" s="38"/>
      <c r="O52" s="38"/>
    </row>
    <row r="54" spans="1:15" x14ac:dyDescent="0.2">
      <c r="B54" s="35" t="s">
        <v>126</v>
      </c>
      <c r="C54" s="33">
        <f>-(+C35+C49)</f>
        <v>-0.77361189749999926</v>
      </c>
      <c r="D54" s="33">
        <f t="shared" ref="D54:L54" si="9">-(+D35+D49)</f>
        <v>-0.73761189749999923</v>
      </c>
      <c r="E54" s="33">
        <f t="shared" si="9"/>
        <v>-0.7016118974999993</v>
      </c>
      <c r="F54" s="33">
        <f t="shared" si="9"/>
        <v>-0.65361189749999937</v>
      </c>
      <c r="G54" s="33">
        <f t="shared" si="9"/>
        <v>-0.5756118974999993</v>
      </c>
      <c r="H54" s="33">
        <f t="shared" si="9"/>
        <v>-0.48561189749999933</v>
      </c>
      <c r="I54" s="33">
        <f t="shared" si="9"/>
        <v>-0.29754303749999972</v>
      </c>
      <c r="J54" s="33">
        <f t="shared" si="9"/>
        <v>0</v>
      </c>
      <c r="K54" s="33">
        <f t="shared" si="9"/>
        <v>0</v>
      </c>
      <c r="L54" s="33">
        <f t="shared" si="9"/>
        <v>0</v>
      </c>
    </row>
    <row r="55" spans="1:15" x14ac:dyDescent="0.2">
      <c r="B55" s="35" t="s">
        <v>127</v>
      </c>
      <c r="C55" s="33">
        <f t="shared" ref="C55:L55" si="10">+C30+C44</f>
        <v>-0.6</v>
      </c>
      <c r="D55" s="33">
        <f t="shared" si="10"/>
        <v>-0.6</v>
      </c>
      <c r="E55" s="33">
        <f t="shared" si="10"/>
        <v>-0.8</v>
      </c>
      <c r="F55" s="33">
        <f t="shared" si="10"/>
        <v>-1.3</v>
      </c>
      <c r="G55" s="33">
        <f t="shared" si="10"/>
        <v>-1.5</v>
      </c>
      <c r="H55" s="33">
        <f t="shared" si="10"/>
        <v>-3.1344809999999939</v>
      </c>
      <c r="I55" s="33">
        <f t="shared" si="10"/>
        <v>-3.9672404999999964</v>
      </c>
      <c r="J55" s="33">
        <f t="shared" si="10"/>
        <v>0</v>
      </c>
      <c r="K55" s="33">
        <f t="shared" si="10"/>
        <v>0</v>
      </c>
      <c r="L55" s="33">
        <f t="shared" si="10"/>
        <v>0</v>
      </c>
    </row>
    <row r="56" spans="1:15" x14ac:dyDescent="0.2">
      <c r="B56" s="35" t="s">
        <v>128</v>
      </c>
      <c r="C56" s="33">
        <f t="shared" ref="C56:L56" si="11">+C31+C45</f>
        <v>11.301721499999989</v>
      </c>
      <c r="D56" s="33">
        <f t="shared" si="11"/>
        <v>10.701721499999991</v>
      </c>
      <c r="E56" s="33">
        <f t="shared" si="11"/>
        <v>9.9017214999999901</v>
      </c>
      <c r="F56" s="33">
        <f t="shared" si="11"/>
        <v>8.6017214999999894</v>
      </c>
      <c r="G56" s="33">
        <f t="shared" si="11"/>
        <v>7.1017214999999903</v>
      </c>
      <c r="H56" s="33">
        <f t="shared" si="11"/>
        <v>3.9672404999999964</v>
      </c>
      <c r="I56" s="33">
        <f t="shared" si="11"/>
        <v>0</v>
      </c>
      <c r="J56" s="33">
        <f t="shared" si="11"/>
        <v>0</v>
      </c>
      <c r="K56" s="33">
        <f t="shared" si="11"/>
        <v>0</v>
      </c>
      <c r="L56" s="33">
        <f t="shared" si="11"/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9"/>
  <sheetViews>
    <sheetView showGridLines="0" zoomScaleNormal="100" workbookViewId="0">
      <selection activeCell="E8" sqref="E8"/>
    </sheetView>
  </sheetViews>
  <sheetFormatPr defaultRowHeight="12.75" x14ac:dyDescent="0.2"/>
  <cols>
    <col min="2" max="2" width="18.140625" customWidth="1"/>
    <col min="6" max="6" width="8.85546875" customWidth="1"/>
  </cols>
  <sheetData>
    <row r="1" spans="1:14" x14ac:dyDescent="0.2">
      <c r="A1" s="208" t="s">
        <v>94</v>
      </c>
      <c r="B1" s="208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</row>
    <row r="2" spans="1:14" x14ac:dyDescent="0.2">
      <c r="A2" s="208" t="s">
        <v>129</v>
      </c>
      <c r="B2" s="208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</row>
    <row r="3" spans="1:14" x14ac:dyDescent="0.2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</row>
    <row r="4" spans="1:14" x14ac:dyDescent="0.2">
      <c r="A4" s="139" t="str">
        <f>'Balance Sheet'!B4</f>
        <v>(Fine Anno 31-Dic, EURm)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</row>
    <row r="5" spans="1:14" x14ac:dyDescent="0.2">
      <c r="A5" s="146"/>
      <c r="B5" s="146"/>
      <c r="C5" s="146"/>
      <c r="D5" s="206">
        <v>1</v>
      </c>
      <c r="E5" s="206">
        <f t="shared" ref="E5:N5" si="0">D5+1</f>
        <v>2</v>
      </c>
      <c r="F5" s="206">
        <f t="shared" si="0"/>
        <v>3</v>
      </c>
      <c r="G5" s="206">
        <f t="shared" si="0"/>
        <v>4</v>
      </c>
      <c r="H5" s="206">
        <f t="shared" si="0"/>
        <v>5</v>
      </c>
      <c r="I5" s="206">
        <f t="shared" si="0"/>
        <v>6</v>
      </c>
      <c r="J5" s="206">
        <f t="shared" si="0"/>
        <v>7</v>
      </c>
      <c r="K5" s="206">
        <f t="shared" si="0"/>
        <v>8</v>
      </c>
      <c r="L5" s="206">
        <f t="shared" si="0"/>
        <v>9</v>
      </c>
      <c r="M5" s="206">
        <f t="shared" si="0"/>
        <v>10</v>
      </c>
      <c r="N5" s="206">
        <f t="shared" si="0"/>
        <v>11</v>
      </c>
    </row>
    <row r="6" spans="1:14" x14ac:dyDescent="0.2">
      <c r="A6" s="146"/>
      <c r="B6" s="146"/>
      <c r="C6" s="209" t="str">
        <f>'Balance Sheet'!F4</f>
        <v>2024A</v>
      </c>
      <c r="D6" s="147" t="str">
        <f>'Balance Sheet'!H4</f>
        <v>2025E</v>
      </c>
      <c r="E6" s="147" t="str">
        <f>'Balance Sheet'!I4</f>
        <v>2026E</v>
      </c>
      <c r="F6" s="147" t="str">
        <f>'Balance Sheet'!J4</f>
        <v>2027E</v>
      </c>
      <c r="G6" s="147" t="str">
        <f>'Balance Sheet'!K4</f>
        <v>2028E</v>
      </c>
      <c r="H6" s="147" t="str">
        <f>'Balance Sheet'!L4</f>
        <v>2029E</v>
      </c>
      <c r="I6" s="147" t="str">
        <f>'Balance Sheet'!M4</f>
        <v>2030E</v>
      </c>
      <c r="J6" s="147" t="str">
        <f>'Balance Sheet'!N4</f>
        <v>2031E</v>
      </c>
      <c r="K6" s="147" t="str">
        <f>'Balance Sheet'!O4</f>
        <v>2032E</v>
      </c>
      <c r="L6" s="147" t="str">
        <f>'Balance Sheet'!P4</f>
        <v>2033E</v>
      </c>
      <c r="M6" s="147" t="str">
        <f>'Balance Sheet'!Q4</f>
        <v>2034E</v>
      </c>
      <c r="N6" s="147" t="str">
        <f>'Balance Sheet'!R4</f>
        <v>2035E</v>
      </c>
    </row>
    <row r="7" spans="1:14" x14ac:dyDescent="0.2">
      <c r="A7" s="146"/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</row>
    <row r="8" spans="1:14" x14ac:dyDescent="0.2">
      <c r="A8" s="141" t="s">
        <v>130</v>
      </c>
      <c r="B8" s="141"/>
      <c r="C8" s="142"/>
      <c r="D8" s="127">
        <f>'LBO Model'!C22</f>
        <v>2.6525659572181639</v>
      </c>
      <c r="E8" s="127">
        <f>'LBO Model'!D22</f>
        <v>-0.50895579485533837</v>
      </c>
      <c r="F8" s="127">
        <f>'LBO Model'!E22</f>
        <v>-0.61227824725498758</v>
      </c>
      <c r="G8" s="127">
        <f>'LBO Model'!F22</f>
        <v>-0.50855660828836657</v>
      </c>
      <c r="H8" s="127">
        <f>'LBO Model'!G22</f>
        <v>-0.66825720537086042</v>
      </c>
      <c r="I8" s="127">
        <f>'LBO Model'!H22</f>
        <v>-1.9277323191567093</v>
      </c>
      <c r="J8" s="127">
        <f>'LBO Model'!I22</f>
        <v>-2.3977769831284426</v>
      </c>
      <c r="K8" s="127">
        <f>'LBO Model'!J22</f>
        <v>2.1072801114620665</v>
      </c>
      <c r="L8" s="127">
        <f>'LBO Model'!K22</f>
        <v>2.3944883353982238</v>
      </c>
      <c r="M8" s="127">
        <f>'LBO Model'!L22</f>
        <v>2.6267174048382689</v>
      </c>
      <c r="N8" s="127">
        <f>'LBO Model'!M22</f>
        <v>2.9681201235237431</v>
      </c>
    </row>
    <row r="9" spans="1:14" x14ac:dyDescent="0.2">
      <c r="A9" s="143"/>
      <c r="B9" s="143"/>
      <c r="C9" s="144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x14ac:dyDescent="0.2">
      <c r="A10" s="145" t="s">
        <v>98</v>
      </c>
      <c r="B10" s="145"/>
      <c r="C10" s="145"/>
      <c r="D10" s="31">
        <f t="shared" ref="D10:N10" si="1">1/((1+$C$14)^D5)</f>
        <v>0.86956521739130443</v>
      </c>
      <c r="E10" s="31">
        <f t="shared" si="1"/>
        <v>0.7561436672967865</v>
      </c>
      <c r="F10" s="31">
        <f t="shared" si="1"/>
        <v>0.65751623243198831</v>
      </c>
      <c r="G10" s="31">
        <f t="shared" si="1"/>
        <v>0.57175324559303342</v>
      </c>
      <c r="H10" s="31">
        <f t="shared" si="1"/>
        <v>0.49717673529828987</v>
      </c>
      <c r="I10" s="31">
        <f t="shared" si="1"/>
        <v>0.43232759591155645</v>
      </c>
      <c r="J10" s="31">
        <f t="shared" si="1"/>
        <v>0.37593703992309269</v>
      </c>
      <c r="K10" s="31">
        <f t="shared" si="1"/>
        <v>0.32690177384616753</v>
      </c>
      <c r="L10" s="31">
        <f t="shared" si="1"/>
        <v>0.28426241204014574</v>
      </c>
      <c r="M10" s="31">
        <f t="shared" si="1"/>
        <v>0.24718470612186585</v>
      </c>
      <c r="N10" s="31">
        <f t="shared" si="1"/>
        <v>0.21494322271466598</v>
      </c>
    </row>
    <row r="11" spans="1:14" x14ac:dyDescent="0.2">
      <c r="A11" s="146"/>
      <c r="B11" s="146"/>
      <c r="C11" s="146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</row>
    <row r="12" spans="1:14" x14ac:dyDescent="0.2">
      <c r="A12" s="146" t="s">
        <v>99</v>
      </c>
      <c r="B12" s="146"/>
      <c r="C12" s="146"/>
      <c r="D12" s="33">
        <f t="shared" ref="D12:N12" si="2">+D8*D10</f>
        <v>2.3065790932331862</v>
      </c>
      <c r="E12" s="33">
        <f t="shared" si="2"/>
        <v>-0.38484370121386652</v>
      </c>
      <c r="F12" s="33">
        <f t="shared" si="2"/>
        <v>-0.40258288633516082</v>
      </c>
      <c r="G12" s="33">
        <f t="shared" si="2"/>
        <v>-0.29076889135665857</v>
      </c>
      <c r="H12" s="33">
        <f t="shared" si="2"/>
        <v>-0.33224193570584321</v>
      </c>
      <c r="I12" s="33">
        <f t="shared" si="2"/>
        <v>-0.83341187910202941</v>
      </c>
      <c r="J12" s="33">
        <f t="shared" si="2"/>
        <v>-0.90141318143303006</v>
      </c>
      <c r="K12" s="33">
        <f t="shared" si="2"/>
        <v>0.68887360642769913</v>
      </c>
      <c r="L12" s="33">
        <f t="shared" si="2"/>
        <v>0.68066302982229254</v>
      </c>
      <c r="M12" s="33">
        <f t="shared" si="2"/>
        <v>0.64928436978013759</v>
      </c>
      <c r="N12" s="33">
        <f t="shared" si="2"/>
        <v>0.63797730475444581</v>
      </c>
    </row>
    <row r="13" spans="1:14" x14ac:dyDescent="0.2">
      <c r="A13" s="146"/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</row>
    <row r="14" spans="1:14" x14ac:dyDescent="0.2">
      <c r="A14" s="150" t="s">
        <v>131</v>
      </c>
      <c r="B14" s="151"/>
      <c r="C14" s="210">
        <f>'WACC Calculation'!C7</f>
        <v>0.15</v>
      </c>
      <c r="D14" s="146"/>
      <c r="E14" s="146"/>
      <c r="F14" s="146"/>
      <c r="G14" s="146"/>
      <c r="H14" s="146"/>
      <c r="I14" s="146"/>
      <c r="J14" s="146"/>
      <c r="K14" s="146"/>
      <c r="L14" s="146"/>
      <c r="M14" s="146"/>
    </row>
    <row r="15" spans="1:14" x14ac:dyDescent="0.2">
      <c r="A15" s="152" t="s">
        <v>101</v>
      </c>
      <c r="B15" s="143"/>
      <c r="C15" s="211">
        <f>DCF!C28</f>
        <v>0.02</v>
      </c>
      <c r="D15" s="146"/>
      <c r="E15" s="146"/>
      <c r="F15" s="146"/>
      <c r="G15" s="146"/>
      <c r="H15" s="146"/>
      <c r="I15" s="146"/>
      <c r="J15" s="146"/>
      <c r="K15" s="146"/>
      <c r="L15" s="146"/>
      <c r="M15" s="146"/>
    </row>
    <row r="16" spans="1:14" x14ac:dyDescent="0.2">
      <c r="A16" s="153"/>
      <c r="B16" s="146"/>
      <c r="C16" s="154"/>
      <c r="D16" s="146"/>
      <c r="E16" s="146"/>
      <c r="F16" s="146"/>
      <c r="G16" s="146"/>
      <c r="H16" s="146"/>
      <c r="I16" s="146"/>
      <c r="J16" s="146"/>
      <c r="K16" s="146"/>
      <c r="L16" s="146"/>
      <c r="M16" s="146"/>
    </row>
    <row r="17" spans="1:13" x14ac:dyDescent="0.2">
      <c r="A17" s="153"/>
      <c r="B17" s="146"/>
      <c r="C17" s="155"/>
      <c r="D17" s="146"/>
      <c r="E17" s="146"/>
      <c r="F17" s="146"/>
      <c r="G17" s="146"/>
      <c r="H17" s="146"/>
      <c r="I17" s="146"/>
      <c r="J17" s="146"/>
      <c r="K17" s="146"/>
      <c r="L17" s="146"/>
      <c r="M17" s="146"/>
    </row>
    <row r="18" spans="1:13" x14ac:dyDescent="0.2">
      <c r="A18" s="152" t="s">
        <v>102</v>
      </c>
      <c r="B18" s="143"/>
      <c r="C18" s="121">
        <f>(N8*(1+C14))/(C14-C15)</f>
        <v>26.256447246556185</v>
      </c>
      <c r="D18" s="146"/>
      <c r="E18" s="146"/>
      <c r="F18" s="146"/>
      <c r="G18" s="146"/>
      <c r="H18" s="146"/>
      <c r="I18" s="146"/>
      <c r="J18" s="146"/>
      <c r="K18" s="146"/>
      <c r="L18" s="146"/>
      <c r="M18" s="146"/>
    </row>
    <row r="19" spans="1:13" x14ac:dyDescent="0.2">
      <c r="A19" s="153" t="s">
        <v>103</v>
      </c>
      <c r="B19" s="146"/>
      <c r="C19" s="121">
        <f>C18*N10</f>
        <v>5.6436453882124047</v>
      </c>
      <c r="D19" s="146"/>
      <c r="E19" s="146"/>
      <c r="F19" s="207"/>
      <c r="G19" s="207"/>
      <c r="H19" s="207"/>
      <c r="I19" s="207"/>
      <c r="J19" s="207"/>
      <c r="K19" s="146"/>
      <c r="L19" s="146"/>
      <c r="M19" s="146"/>
    </row>
    <row r="20" spans="1:13" x14ac:dyDescent="0.2">
      <c r="A20" s="153"/>
      <c r="B20" s="146"/>
      <c r="C20" s="121"/>
      <c r="D20" s="146"/>
      <c r="E20" s="146"/>
      <c r="F20" s="207"/>
      <c r="G20" s="207"/>
      <c r="H20" s="207"/>
      <c r="I20" s="207"/>
      <c r="J20" s="207"/>
      <c r="K20" s="146"/>
      <c r="L20" s="146"/>
      <c r="M20" s="146"/>
    </row>
    <row r="21" spans="1:13" x14ac:dyDescent="0.2">
      <c r="A21" s="153" t="s">
        <v>104</v>
      </c>
      <c r="B21" s="146"/>
      <c r="C21" s="121">
        <f>SUM(D12:N12)</f>
        <v>1.8181149288711724</v>
      </c>
      <c r="D21" s="146"/>
      <c r="E21" s="146"/>
      <c r="F21" s="207"/>
      <c r="G21" s="207"/>
      <c r="H21" s="207"/>
      <c r="I21" s="207"/>
      <c r="J21" s="207"/>
      <c r="K21" s="146"/>
      <c r="L21" s="146"/>
      <c r="M21" s="146"/>
    </row>
    <row r="22" spans="1:13" x14ac:dyDescent="0.2">
      <c r="A22" s="153"/>
      <c r="B22" s="146"/>
      <c r="C22" s="121"/>
      <c r="D22" s="146"/>
      <c r="E22" s="146"/>
      <c r="F22" s="247" t="s">
        <v>159</v>
      </c>
      <c r="H22" s="245" t="s">
        <v>105</v>
      </c>
      <c r="I22" s="242"/>
      <c r="J22" s="242"/>
      <c r="K22" s="242"/>
      <c r="L22" s="242"/>
      <c r="M22" s="146"/>
    </row>
    <row r="23" spans="1:13" x14ac:dyDescent="0.2">
      <c r="A23" s="152" t="s">
        <v>109</v>
      </c>
      <c r="B23" s="143"/>
      <c r="C23" s="156">
        <f>+C19+C21</f>
        <v>7.4617603170835771</v>
      </c>
      <c r="D23" s="146"/>
      <c r="E23" s="146"/>
      <c r="F23" s="247"/>
      <c r="G23" s="146"/>
      <c r="H23" s="244" t="s">
        <v>131</v>
      </c>
      <c r="I23" s="242"/>
      <c r="J23" s="242"/>
      <c r="K23" s="242"/>
      <c r="L23" s="242"/>
      <c r="M23" s="146"/>
    </row>
    <row r="24" spans="1:13" ht="12.75" customHeight="1" x14ac:dyDescent="0.2">
      <c r="A24" s="153" t="s">
        <v>107</v>
      </c>
      <c r="B24" s="146"/>
      <c r="C24" s="121">
        <f>'Balance Sheet'!G33</f>
        <v>11.90172149999999</v>
      </c>
      <c r="D24" s="146"/>
      <c r="E24" s="146"/>
      <c r="F24" s="247"/>
      <c r="G24" s="165">
        <f>C26</f>
        <v>19.363481817083567</v>
      </c>
      <c r="H24" s="166">
        <f>+I24-0.01</f>
        <v>0.12999999999999998</v>
      </c>
      <c r="I24" s="166">
        <f>+J24-0.01</f>
        <v>0.13999999999999999</v>
      </c>
      <c r="J24" s="166">
        <v>0.15</v>
      </c>
      <c r="K24" s="166">
        <f>+J24+0.01</f>
        <v>0.16</v>
      </c>
      <c r="L24" s="166">
        <f>+K24+0.01</f>
        <v>0.17</v>
      </c>
      <c r="M24" s="146"/>
    </row>
    <row r="25" spans="1:13" ht="12.75" customHeight="1" x14ac:dyDescent="0.2">
      <c r="A25" s="153" t="s">
        <v>108</v>
      </c>
      <c r="B25" s="146"/>
      <c r="C25" s="121">
        <v>0</v>
      </c>
      <c r="D25" s="146"/>
      <c r="E25" s="146"/>
      <c r="F25" s="247"/>
      <c r="G25" s="167">
        <f>+G26-0.005</f>
        <v>9.9999999999999985E-3</v>
      </c>
      <c r="H25" s="168">
        <f t="dataTable" ref="H25:L29" dt2D="1" dtr="1" r1="C14" r2="C15"/>
        <v>21.230253753561314</v>
      </c>
      <c r="I25" s="129">
        <v>19.983577913524151</v>
      </c>
      <c r="J25" s="129">
        <v>18.960364289354111</v>
      </c>
      <c r="K25" s="129">
        <v>18.11261507952451</v>
      </c>
      <c r="L25" s="120">
        <v>17.404570138662372</v>
      </c>
      <c r="M25" s="146"/>
    </row>
    <row r="26" spans="1:13" x14ac:dyDescent="0.2">
      <c r="A26" s="157" t="s">
        <v>106</v>
      </c>
      <c r="B26" s="158"/>
      <c r="C26" s="159">
        <f>+C23+C24</f>
        <v>19.363481817083567</v>
      </c>
      <c r="D26" s="146"/>
      <c r="E26" s="146"/>
      <c r="F26" s="247"/>
      <c r="G26" s="167">
        <f>+G27-0.005</f>
        <v>1.4999999999999999E-2</v>
      </c>
      <c r="H26" s="169">
        <v>21.547055784078985</v>
      </c>
      <c r="I26" s="170">
        <v>20.229926230209998</v>
      </c>
      <c r="J26" s="170">
        <v>19.15445791381644</v>
      </c>
      <c r="K26" s="170">
        <v>18.26728730137815</v>
      </c>
      <c r="L26" s="121">
        <v>17.529062062810421</v>
      </c>
      <c r="M26" s="146"/>
    </row>
    <row r="27" spans="1:13" x14ac:dyDescent="0.2">
      <c r="A27" s="160"/>
      <c r="B27" s="160"/>
      <c r="C27" s="33"/>
      <c r="D27" s="146"/>
      <c r="E27" s="146"/>
      <c r="F27" s="247"/>
      <c r="G27" s="167">
        <v>0.02</v>
      </c>
      <c r="H27" s="169">
        <v>21.892657999189172</v>
      </c>
      <c r="I27" s="170">
        <v>20.496803573286332</v>
      </c>
      <c r="J27" s="171">
        <v>19.363481817083567</v>
      </c>
      <c r="K27" s="170">
        <v>18.433007539078481</v>
      </c>
      <c r="L27" s="121">
        <v>17.661853448568344</v>
      </c>
      <c r="M27" s="146"/>
    </row>
    <row r="28" spans="1:13" x14ac:dyDescent="0.2">
      <c r="A28" s="150" t="s">
        <v>110</v>
      </c>
      <c r="B28" s="151"/>
      <c r="C28" s="161">
        <f>+C26/DCF!D8</f>
        <v>5.2310502373688728</v>
      </c>
      <c r="D28" s="146"/>
      <c r="E28" s="146"/>
      <c r="F28" s="247"/>
      <c r="G28" s="167">
        <f>+G27+0.005</f>
        <v>2.5000000000000001E-2</v>
      </c>
      <c r="H28" s="169">
        <v>22.271174710976517</v>
      </c>
      <c r="I28" s="170">
        <v>20.786887641847564</v>
      </c>
      <c r="J28" s="170">
        <v>19.589227632612065</v>
      </c>
      <c r="K28" s="170">
        <v>18.611003349941797</v>
      </c>
      <c r="L28" s="121">
        <v>17.803802860930258</v>
      </c>
      <c r="M28" s="146"/>
    </row>
    <row r="29" spans="1:13" x14ac:dyDescent="0.2">
      <c r="A29" s="157" t="s">
        <v>111</v>
      </c>
      <c r="B29" s="158"/>
      <c r="C29" s="162">
        <f>+C26/DCF!D12</f>
        <v>6.1686942920518932</v>
      </c>
      <c r="D29" s="146"/>
      <c r="E29" s="146"/>
      <c r="F29" s="247"/>
      <c r="G29" s="167">
        <f>+G28+0.005</f>
        <v>3.0000000000000002E-2</v>
      </c>
      <c r="H29" s="172">
        <v>22.687543093942601</v>
      </c>
      <c r="I29" s="173">
        <v>21.103342989368905</v>
      </c>
      <c r="J29" s="173">
        <v>19.833785599434599</v>
      </c>
      <c r="K29" s="173">
        <v>18.802691146256137</v>
      </c>
      <c r="L29" s="174">
        <v>17.955891517032313</v>
      </c>
      <c r="M29" s="146"/>
    </row>
  </sheetData>
  <mergeCells count="3">
    <mergeCell ref="H23:L23"/>
    <mergeCell ref="H22:L22"/>
    <mergeCell ref="F22:F2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17F6-B435-49E6-BFFA-1EEBB52BEAC7}">
  <sheetPr codeName="Sheet12"/>
  <dimension ref="A1:N28"/>
  <sheetViews>
    <sheetView showGridLines="0" zoomScaleNormal="100" workbookViewId="0">
      <selection activeCell="A30" sqref="A30"/>
    </sheetView>
  </sheetViews>
  <sheetFormatPr defaultRowHeight="12.75" x14ac:dyDescent="0.2"/>
  <cols>
    <col min="2" max="2" width="24.28515625" customWidth="1"/>
    <col min="6" max="6" width="8.85546875" customWidth="1"/>
  </cols>
  <sheetData>
    <row r="1" spans="1:14" x14ac:dyDescent="0.2">
      <c r="A1" s="208" t="s">
        <v>94</v>
      </c>
      <c r="B1" s="208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</row>
    <row r="2" spans="1:14" x14ac:dyDescent="0.2">
      <c r="A2" s="208" t="s">
        <v>223</v>
      </c>
      <c r="B2" s="208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</row>
    <row r="3" spans="1:14" x14ac:dyDescent="0.2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</row>
    <row r="4" spans="1:14" x14ac:dyDescent="0.2">
      <c r="A4" s="146"/>
      <c r="B4" s="146"/>
      <c r="C4" s="146"/>
      <c r="D4" s="206">
        <v>1</v>
      </c>
      <c r="E4" s="206">
        <f t="shared" ref="E4:N4" si="0">D4+1</f>
        <v>2</v>
      </c>
      <c r="F4" s="206">
        <f t="shared" si="0"/>
        <v>3</v>
      </c>
      <c r="G4" s="206">
        <f t="shared" si="0"/>
        <v>4</v>
      </c>
      <c r="H4" s="206">
        <f t="shared" si="0"/>
        <v>5</v>
      </c>
      <c r="I4" s="206">
        <f t="shared" si="0"/>
        <v>6</v>
      </c>
      <c r="J4" s="206">
        <f t="shared" si="0"/>
        <v>7</v>
      </c>
      <c r="K4" s="206">
        <f t="shared" si="0"/>
        <v>8</v>
      </c>
      <c r="L4" s="206">
        <f t="shared" si="0"/>
        <v>9</v>
      </c>
      <c r="M4" s="206">
        <f t="shared" si="0"/>
        <v>10</v>
      </c>
      <c r="N4" s="206">
        <f t="shared" si="0"/>
        <v>11</v>
      </c>
    </row>
    <row r="5" spans="1:14" x14ac:dyDescent="0.2">
      <c r="A5" s="39" t="s">
        <v>226</v>
      </c>
      <c r="B5" s="39"/>
      <c r="C5" s="14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</row>
    <row r="6" spans="1:14" x14ac:dyDescent="0.2">
      <c r="A6" s="146"/>
      <c r="B6" s="146"/>
      <c r="C6" s="14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</row>
    <row r="7" spans="1:14" x14ac:dyDescent="0.2">
      <c r="A7" s="43" t="s">
        <v>10</v>
      </c>
      <c r="B7" s="44"/>
      <c r="C7" s="44" t="str">
        <f>'Balance Sheet'!F4</f>
        <v>2024A</v>
      </c>
      <c r="D7" s="44" t="str">
        <f>'Balance Sheet'!H4</f>
        <v>2025E</v>
      </c>
      <c r="E7" s="44" t="str">
        <f>'Balance Sheet'!I4</f>
        <v>2026E</v>
      </c>
      <c r="F7" s="44" t="str">
        <f>'Balance Sheet'!J4</f>
        <v>2027E</v>
      </c>
      <c r="G7" s="44" t="str">
        <f>'Balance Sheet'!K4</f>
        <v>2028E</v>
      </c>
      <c r="H7" s="44" t="str">
        <f>'Balance Sheet'!L4</f>
        <v>2029E</v>
      </c>
      <c r="I7" s="44" t="str">
        <f>'Balance Sheet'!M4</f>
        <v>2030E</v>
      </c>
      <c r="J7" s="44" t="str">
        <f>'Balance Sheet'!N4</f>
        <v>2031E</v>
      </c>
      <c r="K7" s="44" t="str">
        <f>'Balance Sheet'!O4</f>
        <v>2032E</v>
      </c>
      <c r="L7" s="44" t="str">
        <f>'Balance Sheet'!P4</f>
        <v>2033E</v>
      </c>
      <c r="M7" s="43" t="str">
        <f>'Balance Sheet'!Q4</f>
        <v>2034E</v>
      </c>
      <c r="N7" s="44" t="str">
        <f>'Balance Sheet'!R4</f>
        <v>2035E</v>
      </c>
    </row>
    <row r="8" spans="1:14" x14ac:dyDescent="0.2">
      <c r="A8" s="146"/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</row>
    <row r="9" spans="1:14" x14ac:dyDescent="0.2">
      <c r="A9" s="239" t="s">
        <v>37</v>
      </c>
      <c r="B9" s="142"/>
      <c r="C9" s="142"/>
      <c r="D9" s="127">
        <f>-'Cash Flow Statement'!G22</f>
        <v>0.52368883477499995</v>
      </c>
      <c r="E9" s="127">
        <f>-'Cash Flow Statement'!H22</f>
        <v>0.97318841795687505</v>
      </c>
      <c r="F9" s="127">
        <f>-'Cash Flow Statement'!I22</f>
        <v>1.0851050860219158</v>
      </c>
      <c r="G9" s="127">
        <f>-'Cash Flow Statement'!J22</f>
        <v>0.71942467203253002</v>
      </c>
      <c r="H9" s="127">
        <f>-'Cash Flow Statement'!K22</f>
        <v>1.0599523501279275</v>
      </c>
      <c r="I9" s="127">
        <f>-'Cash Flow Statement'!L22</f>
        <v>0.99105544736961237</v>
      </c>
      <c r="J9" s="127">
        <f>-'Cash Flow Statement'!M22</f>
        <v>1.0901609921065738</v>
      </c>
      <c r="K9" s="127">
        <f>-'Cash Flow Statement'!N22</f>
        <v>1.0532878997264983</v>
      </c>
      <c r="L9" s="127">
        <f>-'Cash Flow Statement'!O22</f>
        <v>1.1533502502005157</v>
      </c>
      <c r="M9" s="127">
        <f>-'Cash Flow Statement'!P22</f>
        <v>1.2571517727185622</v>
      </c>
      <c r="N9" s="127">
        <f>-'Cash Flow Statement'!Q22</f>
        <v>1.3702954322632328</v>
      </c>
    </row>
    <row r="10" spans="1:14" x14ac:dyDescent="0.2">
      <c r="A10" s="143"/>
      <c r="B10" s="143"/>
      <c r="C10" s="144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</row>
    <row r="11" spans="1:14" x14ac:dyDescent="0.2">
      <c r="A11" s="145" t="s">
        <v>224</v>
      </c>
      <c r="B11" s="145"/>
      <c r="C11" s="145"/>
      <c r="D11" s="31">
        <f>-'Cash Flow Statement'!G12</f>
        <v>-1.6651441847020556</v>
      </c>
      <c r="E11" s="31">
        <f>-'Cash Flow Statement'!H12</f>
        <v>1.3797557345092657</v>
      </c>
      <c r="F11" s="31">
        <f>-'Cash Flow Statement'!I12</f>
        <v>1.5393352704503283</v>
      </c>
      <c r="G11" s="31">
        <f>-'Cash Flow Statement'!J12</f>
        <v>1.6842945956411395</v>
      </c>
      <c r="H11" s="31">
        <f>-'Cash Flow Statement'!K12</f>
        <v>1.7446792825639352</v>
      </c>
      <c r="I11" s="31">
        <f>-'Cash Flow Statement'!L12</f>
        <v>1.9085993596499504</v>
      </c>
      <c r="J11" s="31">
        <f>-'Cash Flow Statement'!M12</f>
        <v>2.0280295935407575</v>
      </c>
      <c r="K11" s="31">
        <f>-'Cash Flow Statement'!N12</f>
        <v>2.2073219714606802</v>
      </c>
      <c r="L11" s="31">
        <f>-'Cash Flow Statement'!O12</f>
        <v>2.3300009454021851</v>
      </c>
      <c r="M11" s="31">
        <f>-'Cash Flow Statement'!P12</f>
        <v>2.5229759112341785</v>
      </c>
      <c r="N11" s="31">
        <f>-'Cash Flow Statement'!Q12</f>
        <v>2.6450455909952177</v>
      </c>
    </row>
    <row r="12" spans="1:14" x14ac:dyDescent="0.2">
      <c r="A12" s="146"/>
      <c r="B12" s="146"/>
      <c r="C12" s="146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</row>
    <row r="13" spans="1:14" x14ac:dyDescent="0.2">
      <c r="A13" s="143" t="s">
        <v>225</v>
      </c>
      <c r="B13" s="143"/>
      <c r="C13" s="146"/>
      <c r="D13" s="33">
        <f>D9+D11</f>
        <v>-1.1414553499270557</v>
      </c>
      <c r="E13" s="33">
        <f t="shared" ref="E13:N13" si="1">E9+E11</f>
        <v>2.352944152466141</v>
      </c>
      <c r="F13" s="33">
        <f t="shared" si="1"/>
        <v>2.6244403564722441</v>
      </c>
      <c r="G13" s="33">
        <f t="shared" si="1"/>
        <v>2.4037192676736696</v>
      </c>
      <c r="H13" s="33">
        <f t="shared" si="1"/>
        <v>2.804631632691863</v>
      </c>
      <c r="I13" s="33">
        <f t="shared" si="1"/>
        <v>2.8996548070195627</v>
      </c>
      <c r="J13" s="33">
        <f t="shared" si="1"/>
        <v>3.1181905856473313</v>
      </c>
      <c r="K13" s="33">
        <f t="shared" si="1"/>
        <v>3.2606098711871785</v>
      </c>
      <c r="L13" s="33">
        <f t="shared" si="1"/>
        <v>3.483351195602701</v>
      </c>
      <c r="M13" s="33">
        <f t="shared" si="1"/>
        <v>3.7801276839527409</v>
      </c>
      <c r="N13" s="33">
        <f t="shared" si="1"/>
        <v>4.0153410232584505</v>
      </c>
    </row>
    <row r="14" spans="1:14" x14ac:dyDescent="0.2">
      <c r="A14" s="238"/>
      <c r="B14" s="141"/>
      <c r="C14" s="142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</row>
    <row r="15" spans="1:14" x14ac:dyDescent="0.2">
      <c r="A15" s="39" t="s">
        <v>227</v>
      </c>
      <c r="B15" s="39"/>
      <c r="C15" s="14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06"/>
    </row>
    <row r="16" spans="1:14" x14ac:dyDescent="0.2">
      <c r="A16" s="146"/>
      <c r="B16" s="146"/>
      <c r="C16" s="14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6"/>
    </row>
    <row r="17" spans="1:14" x14ac:dyDescent="0.2">
      <c r="A17" s="43" t="s">
        <v>10</v>
      </c>
      <c r="B17" s="44"/>
      <c r="C17" s="44" t="str">
        <f>'Balance Sheet'!F4</f>
        <v>2024A</v>
      </c>
      <c r="D17" s="44" t="str">
        <f>'Balance Sheet'!H4</f>
        <v>2025E</v>
      </c>
      <c r="E17" s="44" t="str">
        <f>'Balance Sheet'!I4</f>
        <v>2026E</v>
      </c>
      <c r="F17" s="44" t="str">
        <f>'Balance Sheet'!J4</f>
        <v>2027E</v>
      </c>
      <c r="G17" s="44" t="str">
        <f>'Balance Sheet'!K4</f>
        <v>2028E</v>
      </c>
      <c r="H17" s="44" t="str">
        <f>'Balance Sheet'!L4</f>
        <v>2029E</v>
      </c>
      <c r="I17" s="44" t="str">
        <f>'Balance Sheet'!M4</f>
        <v>2030E</v>
      </c>
      <c r="J17" s="44" t="str">
        <f>'Balance Sheet'!N4</f>
        <v>2031E</v>
      </c>
      <c r="K17" s="44" t="str">
        <f>'Balance Sheet'!O4</f>
        <v>2032E</v>
      </c>
      <c r="L17" s="44" t="str">
        <f>'Balance Sheet'!P4</f>
        <v>2033E</v>
      </c>
      <c r="M17" s="44" t="str">
        <f>'Balance Sheet'!Q4</f>
        <v>2034E</v>
      </c>
      <c r="N17" s="44" t="str">
        <f>'Balance Sheet'!R4</f>
        <v>2035E</v>
      </c>
    </row>
    <row r="18" spans="1:14" x14ac:dyDescent="0.2">
      <c r="A18" s="146"/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</row>
    <row r="19" spans="1:14" x14ac:dyDescent="0.2">
      <c r="A19" s="239" t="s">
        <v>77</v>
      </c>
      <c r="B19" s="142"/>
      <c r="C19" s="142"/>
      <c r="D19" s="127">
        <f>'Income Statement'!G57</f>
        <v>2.1111106072911086</v>
      </c>
      <c r="E19" s="127">
        <f>'Income Statement'!H57</f>
        <v>2.4439883576108024</v>
      </c>
      <c r="F19" s="127">
        <f>'Income Statement'!I57</f>
        <v>2.8121621092172564</v>
      </c>
      <c r="G19" s="127">
        <f>'Income Statement'!J57</f>
        <v>3.1951626593853031</v>
      </c>
      <c r="H19" s="127">
        <f>'Income Statement'!K57</f>
        <v>3.6363744273210026</v>
      </c>
      <c r="I19" s="127">
        <f>'Income Statement'!L57</f>
        <v>4.1064034878628473</v>
      </c>
      <c r="J19" s="127">
        <f>'Income Statement'!M57</f>
        <v>4.6876541025188843</v>
      </c>
      <c r="K19" s="127">
        <f>'Income Statement'!N57</f>
        <v>5.3678899826492454</v>
      </c>
      <c r="L19" s="127">
        <f>'Income Statement'!O57</f>
        <v>5.8778395310009248</v>
      </c>
      <c r="M19" s="127">
        <f>'Income Statement'!P57</f>
        <v>6.4068450887910098</v>
      </c>
      <c r="N19" s="127">
        <f>'Income Statement'!Q57</f>
        <v>6.9834611467821937</v>
      </c>
    </row>
    <row r="20" spans="1:14" x14ac:dyDescent="0.2">
      <c r="A20" s="143"/>
      <c r="B20" s="143"/>
      <c r="C20" s="144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</row>
    <row r="21" spans="1:14" x14ac:dyDescent="0.2">
      <c r="A21" s="145" t="s">
        <v>96</v>
      </c>
      <c r="B21" s="145"/>
      <c r="C21" s="145"/>
      <c r="D21" s="31">
        <f>-'Income Statement'!G37-'Income Statement'!C40</f>
        <v>0.56265128800000008</v>
      </c>
      <c r="E21" s="31">
        <f>-'Income Statement'!H37-'Income Statement'!D40</f>
        <v>0.54602635989600001</v>
      </c>
      <c r="F21" s="31">
        <f>-'Income Statement'!I37-'Income Statement'!E40</f>
        <v>0.58004483437412802</v>
      </c>
      <c r="G21" s="31">
        <f>-'Income Statement'!J37-'Income Statement'!F40</f>
        <v>0.56473568622723636</v>
      </c>
      <c r="H21" s="31">
        <f>-'Income Statement'!K37-'Income Statement'!G40</f>
        <v>0.57648039995178102</v>
      </c>
      <c r="I21" s="31">
        <f>-'Income Statement'!L37-'Income Statement'!H40</f>
        <v>0.58847350795081665</v>
      </c>
      <c r="J21" s="31">
        <f>-'Income Statement'!M37-'Income Statement'!I40</f>
        <v>0.600720383109833</v>
      </c>
      <c r="K21" s="31">
        <f>-'Income Statement'!N37-'Income Statement'!J40</f>
        <v>0.61322651792202965</v>
      </c>
      <c r="L21" s="31">
        <f>-'Income Statement'!O37-'Income Statement'!K40</f>
        <v>0.62599752724497026</v>
      </c>
      <c r="M21" s="31">
        <f>-'Income Statement'!P37-'Income Statement'!L40</f>
        <v>0.63903915112330467</v>
      </c>
      <c r="N21" s="31">
        <f>-'Income Statement'!Q37-'Income Statement'!M40</f>
        <v>0.65235725767920882</v>
      </c>
    </row>
    <row r="22" spans="1:14" x14ac:dyDescent="0.2">
      <c r="A22" s="146"/>
      <c r="B22" s="146"/>
      <c r="C22" s="146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</row>
    <row r="23" spans="1:14" x14ac:dyDescent="0.2">
      <c r="A23" s="146" t="s">
        <v>230</v>
      </c>
      <c r="B23" s="146"/>
      <c r="C23" s="146"/>
      <c r="D23" s="33">
        <f>'Cash Flow Statement'!G8</f>
        <v>3.340700347750003E-2</v>
      </c>
      <c r="E23" s="33">
        <f>'Cash Flow Statement'!H8</f>
        <v>3.8093144938312506E-2</v>
      </c>
      <c r="F23" s="33">
        <f>'Cash Flow Statement'!I8</f>
        <v>4.3284419224682513E-2</v>
      </c>
      <c r="G23" s="33">
        <f>'Cash Flow Statement'!J8</f>
        <v>4.8389204497633176E-2</v>
      </c>
      <c r="H23" s="33">
        <f>'Cash Flow Statement'!K8</f>
        <v>5.4007595374069406E-2</v>
      </c>
      <c r="I23" s="33">
        <f>'Cash Flow Statement'!L8</f>
        <v>5.9796934185066153E-2</v>
      </c>
      <c r="J23" s="33">
        <f>'Cash Flow Statement'!M8</f>
        <v>6.6149663706218886E-2</v>
      </c>
      <c r="K23" s="33">
        <f>'Cash Flow Statement'!N8</f>
        <v>7.2641791356510499E-2</v>
      </c>
      <c r="L23" s="33">
        <f>'Cash Flow Statement'!O8</f>
        <v>7.9742354749651967E-2</v>
      </c>
      <c r="M23" s="33">
        <f>'Cash Flow Statement'!P8</f>
        <v>8.6932812811470361E-2</v>
      </c>
      <c r="N23" s="33">
        <f>'Cash Flow Statement'!Q8</f>
        <v>9.4769866253478607E-2</v>
      </c>
    </row>
    <row r="24" spans="1:14" x14ac:dyDescent="0.2">
      <c r="A24" s="146"/>
      <c r="B24" s="146"/>
      <c r="C24" s="146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</row>
    <row r="25" spans="1:14" x14ac:dyDescent="0.2">
      <c r="A25" s="143" t="s">
        <v>228</v>
      </c>
      <c r="B25" s="143"/>
      <c r="C25" s="146"/>
      <c r="D25" s="33">
        <f>D19+D21+D23</f>
        <v>2.7071688987686087</v>
      </c>
      <c r="E25" s="33">
        <f t="shared" ref="E25:N25" si="2">E19+E21+E23</f>
        <v>3.0281078624451148</v>
      </c>
      <c r="F25" s="33">
        <f t="shared" si="2"/>
        <v>3.4354913628160668</v>
      </c>
      <c r="G25" s="33">
        <f t="shared" si="2"/>
        <v>3.8082875501101725</v>
      </c>
      <c r="H25" s="33">
        <f t="shared" si="2"/>
        <v>4.2668624226468532</v>
      </c>
      <c r="I25" s="33">
        <f t="shared" si="2"/>
        <v>4.7546739299987308</v>
      </c>
      <c r="J25" s="33">
        <f t="shared" si="2"/>
        <v>5.354524149334936</v>
      </c>
      <c r="K25" s="33">
        <f t="shared" si="2"/>
        <v>6.0537582919277853</v>
      </c>
      <c r="L25" s="33">
        <f t="shared" si="2"/>
        <v>6.5835794129955474</v>
      </c>
      <c r="M25" s="33">
        <f t="shared" si="2"/>
        <v>7.1328170527257848</v>
      </c>
      <c r="N25" s="33">
        <f t="shared" si="2"/>
        <v>7.7305882707148807</v>
      </c>
    </row>
    <row r="26" spans="1:14" x14ac:dyDescent="0.2">
      <c r="A26" s="239"/>
      <c r="B26" s="239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</row>
    <row r="27" spans="1:14" ht="12.75" customHeight="1" x14ac:dyDescent="0.2"/>
    <row r="28" spans="1:14" ht="12.75" customHeight="1" x14ac:dyDescent="0.2">
      <c r="A28" s="193" t="s">
        <v>229</v>
      </c>
      <c r="B28" s="193"/>
      <c r="C28" s="193"/>
      <c r="D28" s="240">
        <f t="shared" ref="D28:N28" si="3">D13-D25</f>
        <v>-3.8486242486956641</v>
      </c>
      <c r="E28" s="240">
        <f t="shared" si="3"/>
        <v>-0.67516370997897379</v>
      </c>
      <c r="F28" s="240">
        <f t="shared" si="3"/>
        <v>-0.81105100634382277</v>
      </c>
      <c r="G28" s="240">
        <f t="shared" si="3"/>
        <v>-1.4045682824365029</v>
      </c>
      <c r="H28" s="240">
        <f t="shared" si="3"/>
        <v>-1.4622307899549902</v>
      </c>
      <c r="I28" s="240">
        <f t="shared" si="3"/>
        <v>-1.8550191229791682</v>
      </c>
      <c r="J28" s="240">
        <f t="shared" si="3"/>
        <v>-2.2363335636876047</v>
      </c>
      <c r="K28" s="240">
        <f t="shared" si="3"/>
        <v>-2.7931484207406068</v>
      </c>
      <c r="L28" s="240">
        <f t="shared" si="3"/>
        <v>-3.1002282173928464</v>
      </c>
      <c r="M28" s="240">
        <f t="shared" si="3"/>
        <v>-3.3526893687730439</v>
      </c>
      <c r="N28" s="240">
        <f t="shared" si="3"/>
        <v>-3.7152472474564302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44"/>
  <sheetViews>
    <sheetView showGridLines="0" zoomScale="115" zoomScaleNormal="115" workbookViewId="0">
      <selection activeCell="P9" sqref="P9"/>
    </sheetView>
  </sheetViews>
  <sheetFormatPr defaultRowHeight="12.75" x14ac:dyDescent="0.2"/>
  <cols>
    <col min="1" max="1" width="15" customWidth="1"/>
    <col min="2" max="2" width="15.5703125" customWidth="1"/>
    <col min="3" max="14" width="9.7109375" customWidth="1"/>
  </cols>
  <sheetData>
    <row r="1" spans="1:14" x14ac:dyDescent="0.2">
      <c r="A1" s="39" t="s">
        <v>94</v>
      </c>
      <c r="B1" s="39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x14ac:dyDescent="0.2">
      <c r="A2" s="39" t="s">
        <v>95</v>
      </c>
      <c r="B2" s="39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</row>
    <row r="4" spans="1:14" x14ac:dyDescent="0.2">
      <c r="A4" s="146" t="s">
        <v>132</v>
      </c>
      <c r="B4" s="146"/>
      <c r="C4" s="146"/>
    </row>
    <row r="5" spans="1:14" x14ac:dyDescent="0.2">
      <c r="A5" s="146" t="s">
        <v>133</v>
      </c>
      <c r="B5" s="146"/>
      <c r="C5" s="189">
        <f>'LBO Model'!C6</f>
        <v>6.5</v>
      </c>
    </row>
    <row r="6" spans="1:14" x14ac:dyDescent="0.2">
      <c r="A6" s="146" t="s">
        <v>134</v>
      </c>
      <c r="B6" s="146"/>
      <c r="C6" s="190">
        <f>DCF!D8</f>
        <v>3.7016432529661696</v>
      </c>
    </row>
    <row r="7" spans="1:14" x14ac:dyDescent="0.2">
      <c r="A7" s="146" t="s">
        <v>222</v>
      </c>
      <c r="B7" s="146"/>
      <c r="C7" s="189">
        <f>C5</f>
        <v>6.5</v>
      </c>
    </row>
    <row r="8" spans="1:14" x14ac:dyDescent="0.2">
      <c r="A8" s="146" t="s">
        <v>135</v>
      </c>
      <c r="B8" s="146"/>
      <c r="C8" s="190">
        <f>DCF!K8</f>
        <v>7.4450623892499941</v>
      </c>
    </row>
    <row r="9" spans="1:14" x14ac:dyDescent="0.2">
      <c r="A9" s="146" t="s">
        <v>136</v>
      </c>
      <c r="B9" s="146"/>
      <c r="C9" s="190">
        <f>C7*C8</f>
        <v>48.392905530124963</v>
      </c>
    </row>
    <row r="10" spans="1:14" x14ac:dyDescent="0.2">
      <c r="A10" s="146" t="s">
        <v>137</v>
      </c>
      <c r="B10" s="146"/>
      <c r="C10" s="191">
        <f>+'Balance Sheet'!N33</f>
        <v>-1.8006009076735552E-2</v>
      </c>
    </row>
    <row r="11" spans="1:14" x14ac:dyDescent="0.2">
      <c r="A11" s="146" t="s">
        <v>138</v>
      </c>
      <c r="B11" s="146"/>
      <c r="C11" s="190">
        <f>C9-C10</f>
        <v>48.410911539201699</v>
      </c>
    </row>
    <row r="13" spans="1:14" x14ac:dyDescent="0.2">
      <c r="A13" s="139" t="str">
        <f>'Balance Sheet'!B4</f>
        <v>(Fine Anno 31-Dic, EURm)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39"/>
    </row>
    <row r="14" spans="1:14" x14ac:dyDescent="0.2">
      <c r="C14" s="192">
        <v>46022</v>
      </c>
      <c r="D14" s="192">
        <f>C14+365</f>
        <v>46387</v>
      </c>
      <c r="E14" s="192">
        <f>D14+365</f>
        <v>46752</v>
      </c>
      <c r="F14" s="192">
        <f>E14+366</f>
        <v>47118</v>
      </c>
      <c r="G14" s="192">
        <f>F14+365</f>
        <v>47483</v>
      </c>
      <c r="H14" s="192">
        <f>G14+365</f>
        <v>47848</v>
      </c>
      <c r="I14" s="192">
        <f>H14+365</f>
        <v>48213</v>
      </c>
      <c r="J14" s="192">
        <f>I14+366</f>
        <v>48579</v>
      </c>
    </row>
    <row r="15" spans="1:14" x14ac:dyDescent="0.2">
      <c r="C15" s="186" t="str">
        <f>'Balance Sheet'!F4</f>
        <v>2024A</v>
      </c>
      <c r="D15" s="186" t="str">
        <f>'Balance Sheet'!H4</f>
        <v>2025E</v>
      </c>
      <c r="E15" s="187" t="str">
        <f>'Balance Sheet'!I4</f>
        <v>2026E</v>
      </c>
      <c r="F15" s="187" t="str">
        <f>'Balance Sheet'!J4</f>
        <v>2027E</v>
      </c>
      <c r="G15" s="187" t="str">
        <f>'Balance Sheet'!K4</f>
        <v>2028E</v>
      </c>
      <c r="H15" s="187" t="str">
        <f>'Balance Sheet'!L4</f>
        <v>2029E</v>
      </c>
      <c r="I15" s="187" t="str">
        <f>'Balance Sheet'!M4</f>
        <v>2030E</v>
      </c>
      <c r="J15" s="187" t="str">
        <f>'Balance Sheet'!N4</f>
        <v>2031E</v>
      </c>
      <c r="K15" s="187" t="str">
        <f>'Balance Sheet'!O4</f>
        <v>2032E</v>
      </c>
      <c r="L15" s="187" t="str">
        <f>'Balance Sheet'!P4</f>
        <v>2033E</v>
      </c>
      <c r="M15" s="187" t="str">
        <f>'Balance Sheet'!Q4</f>
        <v>2034E</v>
      </c>
      <c r="N15" s="185" t="str">
        <f>'Balance Sheet'!R4</f>
        <v>2035E</v>
      </c>
    </row>
    <row r="17" spans="1:15" x14ac:dyDescent="0.2">
      <c r="A17" t="s">
        <v>130</v>
      </c>
    </row>
    <row r="18" spans="1:15" x14ac:dyDescent="0.2">
      <c r="A18" t="s">
        <v>163</v>
      </c>
      <c r="C18" s="191">
        <f>-'LBO Model'!D12</f>
        <v>-12.158959644280113</v>
      </c>
    </row>
    <row r="19" spans="1:15" x14ac:dyDescent="0.2">
      <c r="A19" t="s">
        <v>139</v>
      </c>
      <c r="J19" s="183">
        <f>+C11</f>
        <v>48.410911539201699</v>
      </c>
    </row>
    <row r="20" spans="1:15" x14ac:dyDescent="0.2">
      <c r="A20" s="188" t="s">
        <v>140</v>
      </c>
      <c r="C20" s="191">
        <f t="shared" ref="C20:J20" si="0">C17+C18+C19</f>
        <v>-12.158959644280113</v>
      </c>
      <c r="D20" s="70">
        <f t="shared" si="0"/>
        <v>0</v>
      </c>
      <c r="E20" s="70">
        <f t="shared" si="0"/>
        <v>0</v>
      </c>
      <c r="F20" s="70">
        <f t="shared" si="0"/>
        <v>0</v>
      </c>
      <c r="G20" s="70">
        <f t="shared" si="0"/>
        <v>0</v>
      </c>
      <c r="H20" s="70">
        <f t="shared" si="0"/>
        <v>0</v>
      </c>
      <c r="I20" s="70">
        <f t="shared" si="0"/>
        <v>0</v>
      </c>
      <c r="J20" s="70">
        <f t="shared" si="0"/>
        <v>48.410911539201699</v>
      </c>
    </row>
    <row r="22" spans="1:15" x14ac:dyDescent="0.2">
      <c r="A22" s="193" t="s">
        <v>141</v>
      </c>
      <c r="B22" s="194"/>
      <c r="C22" s="195">
        <f>XIRR(C20:J20,C14:J14)</f>
        <v>0.21801862120628357</v>
      </c>
    </row>
    <row r="24" spans="1:15" x14ac:dyDescent="0.2"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7</v>
      </c>
    </row>
    <row r="25" spans="1:15" x14ac:dyDescent="0.2">
      <c r="C25" s="186" t="str">
        <f>'Balance Sheet'!F4</f>
        <v>2024A</v>
      </c>
      <c r="D25" s="186" t="str">
        <f>'Balance Sheet'!H4</f>
        <v>2025E</v>
      </c>
      <c r="E25" s="186" t="str">
        <f>'Balance Sheet'!I4</f>
        <v>2026E</v>
      </c>
      <c r="F25" s="186" t="str">
        <f>'Balance Sheet'!J4</f>
        <v>2027E</v>
      </c>
      <c r="G25" s="186" t="str">
        <f>'Balance Sheet'!K4</f>
        <v>2028E</v>
      </c>
      <c r="H25" s="186" t="str">
        <f>'Balance Sheet'!L4</f>
        <v>2029E</v>
      </c>
      <c r="I25" s="186" t="str">
        <f>'Balance Sheet'!M4</f>
        <v>2030E</v>
      </c>
      <c r="J25" s="186" t="str">
        <f>'Balance Sheet'!N4</f>
        <v>2031E</v>
      </c>
      <c r="K25" s="186" t="str">
        <f>'Balance Sheet'!O4</f>
        <v>2032E</v>
      </c>
      <c r="L25" s="186" t="str">
        <f>'Balance Sheet'!P4</f>
        <v>2033E</v>
      </c>
      <c r="M25" s="186" t="str">
        <f>'Balance Sheet'!Q4</f>
        <v>2034E</v>
      </c>
      <c r="N25" s="186" t="str">
        <f>'Balance Sheet'!R4</f>
        <v>2035E</v>
      </c>
    </row>
    <row r="27" spans="1:15" x14ac:dyDescent="0.2">
      <c r="A27" t="s">
        <v>140</v>
      </c>
      <c r="D27" s="196"/>
      <c r="E27" s="196"/>
      <c r="F27" s="196"/>
      <c r="G27" s="196"/>
      <c r="H27" s="196"/>
      <c r="I27" s="197"/>
      <c r="J27" s="197">
        <f>+J20</f>
        <v>48.410911539201699</v>
      </c>
      <c r="K27" s="197"/>
      <c r="L27" s="197"/>
      <c r="M27" s="197"/>
      <c r="N27" s="196"/>
    </row>
    <row r="28" spans="1:15" x14ac:dyDescent="0.2">
      <c r="D28" s="196"/>
      <c r="E28" s="196"/>
      <c r="F28" s="196"/>
      <c r="G28" s="196"/>
      <c r="H28" s="196"/>
      <c r="I28" s="197"/>
      <c r="J28" s="197"/>
      <c r="K28" s="197"/>
      <c r="L28" s="197"/>
      <c r="M28" s="197"/>
      <c r="N28" s="196"/>
    </row>
    <row r="29" spans="1:15" x14ac:dyDescent="0.2">
      <c r="A29" t="s">
        <v>98</v>
      </c>
      <c r="D29" s="31">
        <f t="shared" ref="D29:J29" si="1">1/((1+$C$34)^D24)</f>
        <v>0.87011748664948008</v>
      </c>
      <c r="E29" s="31">
        <f t="shared" si="1"/>
        <v>0.75710444057320825</v>
      </c>
      <c r="F29" s="31">
        <f t="shared" si="1"/>
        <v>0.65876981296272064</v>
      </c>
      <c r="G29" s="31">
        <f t="shared" si="1"/>
        <v>0.57320713393567058</v>
      </c>
      <c r="H29" s="31">
        <f t="shared" si="1"/>
        <v>0.4987575507096576</v>
      </c>
      <c r="I29" s="31">
        <f t="shared" si="1"/>
        <v>0.43397766647093788</v>
      </c>
      <c r="J29" s="31">
        <f t="shared" si="1"/>
        <v>0.3776115564116988</v>
      </c>
      <c r="K29" s="31"/>
      <c r="L29" s="31"/>
      <c r="M29" s="31"/>
      <c r="N29" s="31"/>
    </row>
    <row r="30" spans="1:15" x14ac:dyDescent="0.2"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</row>
    <row r="31" spans="1:15" x14ac:dyDescent="0.2">
      <c r="A31" t="s">
        <v>99</v>
      </c>
      <c r="D31" s="33">
        <f t="shared" ref="D31:N31" si="2">+D27*D29</f>
        <v>0</v>
      </c>
      <c r="E31" s="33">
        <f t="shared" si="2"/>
        <v>0</v>
      </c>
      <c r="F31" s="33">
        <f t="shared" si="2"/>
        <v>0</v>
      </c>
      <c r="G31" s="33">
        <f t="shared" si="2"/>
        <v>0</v>
      </c>
      <c r="H31" s="33">
        <f t="shared" si="2"/>
        <v>0</v>
      </c>
      <c r="I31" s="33">
        <f t="shared" si="2"/>
        <v>0</v>
      </c>
      <c r="J31" s="33">
        <f t="shared" si="2"/>
        <v>18.280519653627024</v>
      </c>
      <c r="K31" s="33">
        <f t="shared" si="2"/>
        <v>0</v>
      </c>
      <c r="L31" s="33">
        <f t="shared" si="2"/>
        <v>0</v>
      </c>
      <c r="M31" s="33">
        <f t="shared" si="2"/>
        <v>0</v>
      </c>
      <c r="N31" s="33">
        <f t="shared" si="2"/>
        <v>0</v>
      </c>
      <c r="O31" s="33"/>
    </row>
    <row r="34" spans="1:13" x14ac:dyDescent="0.2">
      <c r="A34" s="193" t="s">
        <v>141</v>
      </c>
      <c r="B34" s="194"/>
      <c r="C34" s="195">
        <v>0.14927008748054499</v>
      </c>
    </row>
    <row r="36" spans="1:13" x14ac:dyDescent="0.2">
      <c r="A36" t="s">
        <v>142</v>
      </c>
      <c r="C36" s="27">
        <f>SUM(D31:J31)</f>
        <v>18.280519653627024</v>
      </c>
    </row>
    <row r="37" spans="1:13" x14ac:dyDescent="0.2">
      <c r="A37" t="s">
        <v>107</v>
      </c>
      <c r="C37" s="17">
        <f>DCF!C37</f>
        <v>11.90172149999999</v>
      </c>
    </row>
    <row r="38" spans="1:13" x14ac:dyDescent="0.2">
      <c r="A38" t="s">
        <v>106</v>
      </c>
      <c r="C38" s="199">
        <f>C36+C37</f>
        <v>30.182241153627015</v>
      </c>
    </row>
    <row r="39" spans="1:13" x14ac:dyDescent="0.2">
      <c r="A39" t="s">
        <v>143</v>
      </c>
      <c r="C39" s="198">
        <f>C38/DCF!D8</f>
        <v>8.1537412146461268</v>
      </c>
    </row>
    <row r="42" spans="1:13" x14ac:dyDescent="0.2">
      <c r="A42" s="38"/>
      <c r="B42" s="38"/>
      <c r="C42" s="204" t="s">
        <v>144</v>
      </c>
      <c r="D42" s="204"/>
      <c r="E42" s="204"/>
      <c r="F42" s="204"/>
      <c r="G42" s="204"/>
      <c r="H42" s="204"/>
      <c r="I42" s="204"/>
      <c r="J42" s="204"/>
      <c r="K42" s="204"/>
      <c r="L42" s="204"/>
      <c r="M42" s="204"/>
    </row>
    <row r="43" spans="1:13" x14ac:dyDescent="0.2">
      <c r="A43" s="38"/>
      <c r="B43" s="38"/>
      <c r="C43" s="200">
        <v>0.08</v>
      </c>
      <c r="D43" s="42">
        <f>C43+0.01</f>
        <v>0.09</v>
      </c>
      <c r="E43" s="42">
        <f>D43+0.01</f>
        <v>9.9999999999999992E-2</v>
      </c>
      <c r="F43" s="42">
        <f>E43+0.01</f>
        <v>0.10999999999999999</v>
      </c>
      <c r="G43" s="200">
        <f>F43+0.01</f>
        <v>0.11999999999999998</v>
      </c>
      <c r="H43" s="42">
        <f>G43+0.01</f>
        <v>0.12999999999999998</v>
      </c>
      <c r="I43" s="214">
        <v>0.14927008748054499</v>
      </c>
      <c r="J43" s="42">
        <f>I43+0.01</f>
        <v>0.159270087480545</v>
      </c>
      <c r="K43" s="42">
        <f>J43+0.01</f>
        <v>0.16927008748054501</v>
      </c>
      <c r="L43" s="42">
        <f>K43+0.01</f>
        <v>0.17927008748054502</v>
      </c>
      <c r="M43" s="200">
        <f>L43+0.01</f>
        <v>0.18927008748054502</v>
      </c>
    </row>
    <row r="44" spans="1:13" x14ac:dyDescent="0.2">
      <c r="A44" s="201" t="s">
        <v>145</v>
      </c>
      <c r="B44" s="202">
        <f>+C38</f>
        <v>30.182241153627015</v>
      </c>
      <c r="C44" s="205">
        <f t="dataTable" ref="C44:M44" dt2D="0" dtr="1" r1="C34"/>
        <v>40.14902340900899</v>
      </c>
      <c r="D44" s="41">
        <v>38.384147936023822</v>
      </c>
      <c r="E44" s="41">
        <v>36.744173767289922</v>
      </c>
      <c r="F44" s="41">
        <v>35.219244221747147</v>
      </c>
      <c r="G44" s="205">
        <v>33.800359348501665</v>
      </c>
      <c r="H44" s="41">
        <v>32.479294723190598</v>
      </c>
      <c r="I44" s="205">
        <v>30.182241153627015</v>
      </c>
      <c r="J44" s="41">
        <v>29.10656990973181</v>
      </c>
      <c r="K44" s="41">
        <v>28.10263051025246</v>
      </c>
      <c r="L44" s="41">
        <v>27.1650862036361</v>
      </c>
      <c r="M44" s="205">
        <v>26.289037770041663</v>
      </c>
    </row>
  </sheetData>
  <pageMargins left="0.7" right="0.7" top="0.75" bottom="0.75" header="0.3" footer="0.3"/>
  <ignoredErrors>
    <ignoredError sqref="F14" formula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C11"/>
  <sheetViews>
    <sheetView showGridLines="0" topLeftCell="A4" zoomScaleNormal="150" zoomScaleSheetLayoutView="100" workbookViewId="0">
      <selection activeCell="B65" sqref="B65"/>
    </sheetView>
  </sheetViews>
  <sheetFormatPr defaultRowHeight="12.75" x14ac:dyDescent="0.2"/>
  <cols>
    <col min="1" max="1" width="3.140625" customWidth="1"/>
    <col min="2" max="2" width="32.28515625" customWidth="1"/>
  </cols>
  <sheetData>
    <row r="2" spans="2:3" x14ac:dyDescent="0.2">
      <c r="B2" s="148" t="s">
        <v>146</v>
      </c>
    </row>
    <row r="4" spans="2:3" x14ac:dyDescent="0.2">
      <c r="B4" t="s">
        <v>147</v>
      </c>
      <c r="C4" s="149">
        <v>0.35</v>
      </c>
    </row>
    <row r="5" spans="2:3" x14ac:dyDescent="0.2">
      <c r="B5" t="s">
        <v>66</v>
      </c>
      <c r="C5" s="215">
        <f>1-C4</f>
        <v>0.65</v>
      </c>
    </row>
    <row r="6" spans="2:3" x14ac:dyDescent="0.2">
      <c r="C6" s="66"/>
    </row>
    <row r="7" spans="2:3" x14ac:dyDescent="0.2">
      <c r="B7" t="s">
        <v>148</v>
      </c>
      <c r="C7" s="149">
        <v>0.15</v>
      </c>
    </row>
    <row r="8" spans="2:3" x14ac:dyDescent="0.2">
      <c r="B8" t="s">
        <v>149</v>
      </c>
      <c r="C8" s="66">
        <f>'LBO Model'!G11</f>
        <v>6.4999999999999988E-2</v>
      </c>
    </row>
    <row r="9" spans="2:3" x14ac:dyDescent="0.2">
      <c r="B9" t="s">
        <v>150</v>
      </c>
      <c r="C9" s="66">
        <f>C8-(C8*0.279)</f>
        <v>4.686499999999999E-2</v>
      </c>
    </row>
    <row r="11" spans="2:3" x14ac:dyDescent="0.2">
      <c r="B11" s="138" t="s">
        <v>100</v>
      </c>
      <c r="C11" s="66">
        <f>(C7*C5)+(C9*C4)</f>
        <v>0.11390275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C15E439E4B22F408F82CB7E6A9CA51F" ma:contentTypeVersion="10" ma:contentTypeDescription="Creare un nuovo documento." ma:contentTypeScope="" ma:versionID="300b8245681fc4ea0527b10ab8dfe830">
  <xsd:schema xmlns:xsd="http://www.w3.org/2001/XMLSchema" xmlns:xs="http://www.w3.org/2001/XMLSchema" xmlns:p="http://schemas.microsoft.com/office/2006/metadata/properties" xmlns:ns3="c44448aa-e2ec-41a6-8cd8-66b74200b3e4" targetNamespace="http://schemas.microsoft.com/office/2006/metadata/properties" ma:root="true" ma:fieldsID="b8fe6e58b1dae59b55c1a1486c951e7b" ns3:_="">
    <xsd:import namespace="c44448aa-e2ec-41a6-8cd8-66b74200b3e4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4448aa-e2ec-41a6-8cd8-66b74200b3e4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44448aa-e2ec-41a6-8cd8-66b74200b3e4" xsi:nil="true"/>
  </documentManagement>
</p:properties>
</file>

<file path=customXml/itemProps1.xml><?xml version="1.0" encoding="utf-8"?>
<ds:datastoreItem xmlns:ds="http://schemas.openxmlformats.org/officeDocument/2006/customXml" ds:itemID="{15CD1FE9-A29D-45A5-97F1-82B23484A2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ABEF11-0FC7-4794-9BE5-64488340903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c44448aa-e2ec-41a6-8cd8-66b74200b3e4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287B47-B68A-40A8-BD38-B0E4DD754BBF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c44448aa-e2ec-41a6-8cd8-66b74200b3e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Assumptions</vt:lpstr>
      <vt:lpstr>Income Statement</vt:lpstr>
      <vt:lpstr>Balance Sheet</vt:lpstr>
      <vt:lpstr>Cash Flow Statement</vt:lpstr>
      <vt:lpstr>PP&amp;E Schedule</vt:lpstr>
      <vt:lpstr>Debt Schedule</vt:lpstr>
      <vt:lpstr>DCF</vt:lpstr>
      <vt:lpstr>LBO Model</vt:lpstr>
      <vt:lpstr>FCFE Valuation</vt:lpstr>
      <vt:lpstr>Prospective Analysis</vt:lpstr>
      <vt:lpstr>PE Returns Analysis</vt:lpstr>
      <vt:lpstr>WACC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Eduardo MUNOZ</dc:creator>
  <cp:lastModifiedBy>Samuel Eduardo MUNOZ</cp:lastModifiedBy>
  <dcterms:created xsi:type="dcterms:W3CDTF">2026-01-28T13:59:58Z</dcterms:created>
  <dcterms:modified xsi:type="dcterms:W3CDTF">2026-06-16T15:35:28Z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0x0101001C15E439E4B22F408F82CB7E6A9CA51F</vt:lpwstr>
  </property>
</Properties>
</file>